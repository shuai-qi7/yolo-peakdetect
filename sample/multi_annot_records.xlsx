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yleb1\Desktop\python-YOLO-PeakDetect\sample\"/>
    </mc:Choice>
  </mc:AlternateContent>
  <xr:revisionPtr revIDLastSave="0" documentId="13_ncr:1_{78C11300-34C0-4C9E-965A-E9F0A45C0E9B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annot_records" sheetId="1" r:id="rId1"/>
    <sheet name="records_data" sheetId="2" r:id="rId2"/>
  </sheets>
  <calcPr calcId="181029"/>
</workbook>
</file>

<file path=xl/calcChain.xml><?xml version="1.0" encoding="utf-8"?>
<calcChain xmlns="http://schemas.openxmlformats.org/spreadsheetml/2006/main">
  <c r="H4" i="2" l="1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3" i="2"/>
  <c r="H2" i="2"/>
  <c r="F2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3" i="2"/>
  <c r="G4" i="2"/>
  <c r="G5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4" i="2"/>
  <c r="E5" i="2"/>
  <c r="E3" i="2"/>
  <c r="E2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3" i="2"/>
  <c r="D2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3" i="2"/>
  <c r="C2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3" i="2"/>
  <c r="B2" i="2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</calcChain>
</file>

<file path=xl/sharedStrings.xml><?xml version="1.0" encoding="utf-8"?>
<sst xmlns="http://schemas.openxmlformats.org/spreadsheetml/2006/main" count="860" uniqueCount="582">
  <si>
    <t>样品ID</t>
  </si>
  <si>
    <t>标注类型</t>
  </si>
  <si>
    <t>标注序号</t>
  </si>
  <si>
    <t>峰起点X</t>
  </si>
  <si>
    <t>峰起点Y</t>
  </si>
  <si>
    <t>峰值点X</t>
  </si>
  <si>
    <t>峰值点Y</t>
  </si>
  <si>
    <t>峰终点X</t>
  </si>
  <si>
    <t>峰终点Y</t>
  </si>
  <si>
    <t>重叠峰起点X</t>
  </si>
  <si>
    <t>重叠峰起点Y</t>
  </si>
  <si>
    <t>重叠峰终点X</t>
  </si>
  <si>
    <t>重叠峰终点Y</t>
  </si>
  <si>
    <t>重叠峰数量</t>
  </si>
  <si>
    <t>总面积</t>
  </si>
  <si>
    <t>截图文件名</t>
  </si>
  <si>
    <t>标注日期</t>
  </si>
  <si>
    <t>备注</t>
  </si>
  <si>
    <t>峰标注</t>
  </si>
  <si>
    <t>sample_1_peak_1_(211-216-229).png</t>
  </si>
  <si>
    <t>峰1：起点(211,123.0) 峰值(216,1197.0) 终点(229,246.0)</t>
  </si>
  <si>
    <t>重叠峰标注</t>
  </si>
  <si>
    <t>sample_1_overlap_1_(397-433).png</t>
  </si>
  <si>
    <t>重叠峰1：起点(397,573.0) 终点(433,794.0) 总面积=31598.0000 重叠峰数量：3</t>
  </si>
  <si>
    <t>sample_1_peak_2_(526-544-560).png</t>
  </si>
  <si>
    <t>峰2：起点(526,862.0) 峰值(544,1364.0) 终点(560,947.0)</t>
  </si>
  <si>
    <t>sample_2_peak_1_(210-215-228).png</t>
  </si>
  <si>
    <t>峰1：起点(210,116.0) 峰值(215,1857.0) 终点(228,244.0)</t>
  </si>
  <si>
    <t>sample_2_overlap_1_(399-422).png</t>
  </si>
  <si>
    <t>重叠峰1：起点(399,515.0) 终点(422,991.0000000000001) 总面积=21586.0000 重叠峰数量：2</t>
  </si>
  <si>
    <t>sample_2_peak_2_(524-543-565).png</t>
  </si>
  <si>
    <t>峰2：起点(524,974.0) 峰值(543,1902.0) 终点(565,998.0)</t>
  </si>
  <si>
    <t>sample_3_overlap_1_(202-236).png</t>
  </si>
  <si>
    <t>重叠峰1：起点(202,151.0) 终点(236,387.0) 总面积=25567.0000 重叠峰数量：4</t>
  </si>
  <si>
    <t>sample_3_overlap_2_(402-434).png</t>
  </si>
  <si>
    <t>重叠峰2：起点(402,541.0) 终点(434,1094.0) 总面积=39468.0000 重叠峰数量：2</t>
  </si>
  <si>
    <t>sample_3_peak_1_(525-542-560).png</t>
  </si>
  <si>
    <t>峰1：起点(525,970.0000000000001) 峰值(542,1465.0) 终点(560,985.0000000000001)</t>
  </si>
  <si>
    <t>sample_4_peak_1_(210-215-225).png</t>
  </si>
  <si>
    <t>峰1：起点(210,111.0) 峰值(215,1187.0) 终点(225,248.0)</t>
  </si>
  <si>
    <t>sample_4_peak_2_(320-323-328).png</t>
  </si>
  <si>
    <t>峰2：起点(320,284.0) 峰值(323,547.0) 终点(328,297.0)</t>
  </si>
  <si>
    <t>sample_4_peak_3_(525-548-569).png</t>
  </si>
  <si>
    <t>峰3：起点(525,989.0) 峰值(548,2626.0) 终点(569,936.0)</t>
  </si>
  <si>
    <t>sample_5_peak_1_(210-214-224).png</t>
  </si>
  <si>
    <t>峰1：起点(210,222.0) 峰值(214,2430.0) 终点(224,325.0)</t>
  </si>
  <si>
    <t>sample_5_peak_2_(386-400-405).png</t>
  </si>
  <si>
    <t>峰2：起点(386,692.0) 峰值(400,1309.0) 终点(405,890.9999999999999)</t>
  </si>
  <si>
    <t>sample_5_peak_3_(405-415-424).png</t>
  </si>
  <si>
    <t>峰3：起点(405,890.9999999999999) 峰值(415,5376.0) 终点(424,1362.0)</t>
  </si>
  <si>
    <t>sample_5_peak_4_(521-543-566).png</t>
  </si>
  <si>
    <t>峰4：起点(521,1246.0) 峰值(543,3251.0) 终点(566,1103.0)</t>
  </si>
  <si>
    <t>sample_6_peak_1_(212-214-224).png</t>
  </si>
  <si>
    <t>峰1：起点(212,514.0) 峰值(214,2430.0) 终点(224,325.0)</t>
  </si>
  <si>
    <t>sample_6_peak_2_(386-401-404).png</t>
  </si>
  <si>
    <t>峰2：起点(386,692.0) 峰值(401,1170.0) 终点(404,910.0)</t>
  </si>
  <si>
    <t>sample_6_peak_3_(407-414-424).png</t>
  </si>
  <si>
    <t>峰3：起点(407,954.0) 峰值(414,6518.0) 终点(424,1362.0)</t>
  </si>
  <si>
    <t>sample_6_peak_4_(521-544-564).png</t>
  </si>
  <si>
    <t>峰4：起点(521,1246.0) 峰值(544,3235.0) 终点(564,1144.0)</t>
  </si>
  <si>
    <t>sample_7_peak_1_(167-183-190).png</t>
  </si>
  <si>
    <t>峰1：起点(167,3186.0) 峰值(183,17252.0) 终点(190,3504.0)</t>
  </si>
  <si>
    <t>sample_8_peak_1_(164-182-186).png</t>
  </si>
  <si>
    <t>峰1：起点(164,3297.0) 峰值(182,15111.0) 终点(186,3811.0)</t>
  </si>
  <si>
    <t>sample_9_peak_1_(167-180-184).png</t>
  </si>
  <si>
    <t>峰1：起点(167,3520.0) 峰值(180,12021.0) 终点(184,3913.0)</t>
  </si>
  <si>
    <t>sample_10_peak_1_(165-178-182).png</t>
  </si>
  <si>
    <t>峰1：起点(165,2756.0) 峰值(178,8359.0) 终点(182,3999.0)</t>
  </si>
  <si>
    <t>sample_11_peak_1_(168-178-182).png</t>
  </si>
  <si>
    <t>峰1：起点(168,2836.0) 峰值(178,5480.0) 终点(182,3761.0)</t>
  </si>
  <si>
    <t>sample_12_peak_1_(167-178-183).png</t>
  </si>
  <si>
    <t>峰1：起点(167,2685.0) 峰值(178,5480.0) 终点(183,3676.0)</t>
  </si>
  <si>
    <t>sample_13_peak_1_(256-268-287).png</t>
  </si>
  <si>
    <t>峰1：起点(256,1715.0) 峰值(268,3520.0) 终点(287,1667.0)</t>
  </si>
  <si>
    <t>sample_14_peak_1_(263-275-294).png</t>
  </si>
  <si>
    <t>峰1：起点(263,1939.0) 峰值(275,3236.0) 终点(294,2045.0)</t>
  </si>
  <si>
    <t>sample_15_peak_1_(261-276-297).png</t>
  </si>
  <si>
    <t>峰1：起点(261,1983.0) 峰值(276,3263.0) 终点(297,2217.0)</t>
  </si>
  <si>
    <t>sample_16_peak_1_(266-283-299).png</t>
  </si>
  <si>
    <t>峰1：起点(266,2276.0) 峰值(283,3252.0) 终点(299,2525.0)</t>
  </si>
  <si>
    <t>sample_17_overlap_1_(268-401).png</t>
  </si>
  <si>
    <t>重叠峰1：起点(268,2174.0) 终点(401,2916.0) 总面积=408454.0000 重叠峰数量：2</t>
  </si>
  <si>
    <t>sample_18_overlap_1_(269-372).png</t>
  </si>
  <si>
    <t>重叠峰1：起点(269,1809.0) 终点(372,2737.0) 总面积=268892.0000 重叠峰数量：2</t>
  </si>
  <si>
    <t>sample_19_overlap_1_(146-176).png</t>
  </si>
  <si>
    <t>重叠峰1：起点(146,2437.0) 终点(176,3052.0) 总面积=98109.0000 重叠峰数量：3</t>
  </si>
  <si>
    <t>sample_19_overlap_2_(177-199).png</t>
  </si>
  <si>
    <t>重叠峰2：起点(177,3079.0) 终点(199,2869.0) 总面积=86224.0000 重叠峰数量：2</t>
  </si>
  <si>
    <t>sample_19_overlap_3_(199-229).png</t>
  </si>
  <si>
    <t>重叠峰3：起点(199,2869.0) 终点(229,2883.0) 总面积=100217.0000 重叠峰数量：2</t>
  </si>
  <si>
    <t>sample_19_peak_1_(229-240-248).png</t>
  </si>
  <si>
    <t>峰1：起点(229,2883.0) 峰值(240,5031.0) 终点(248,2947.0)</t>
  </si>
  <si>
    <t>sample_19_peak_2_(248-263-269).png</t>
  </si>
  <si>
    <t>峰2：起点(248,2947.0) 峰值(263,5100.0) 终点(269,2793.0)</t>
  </si>
  <si>
    <t>sample_19_peak_3_(352-371-382).png</t>
  </si>
  <si>
    <t>峰3：起点(352,2714.0) 峰值(371,4439.0) 终点(382,2649.0)</t>
  </si>
  <si>
    <t>sample_19_overlap_4_(418-468).png</t>
  </si>
  <si>
    <t>重叠峰4：起点(418,2925.0) 终点(468,3613.0) 总面积=356964.0000 重叠峰数量：4</t>
  </si>
  <si>
    <t>sample_20_overlap_1_(181-241).png</t>
  </si>
  <si>
    <t>重叠峰1：起点(181,2962.0) 终点(241,2759.0) 总面积=306890.0000 重叠峰数量：2</t>
  </si>
  <si>
    <t>sample_21_peak_1_(426-433-444).png</t>
  </si>
  <si>
    <t>峰1：起点(426,3185.0) 峰值(433,22019.0) 终点(444,4073.0)</t>
  </si>
  <si>
    <t>sample_21_peak_2_(448-472-499).png</t>
  </si>
  <si>
    <t>峰2：起点(448,3878.0) 峰值(472,5071.0) 终点(499,1292.0)</t>
  </si>
  <si>
    <t>sample_22_peak_1_(194-210-219).png</t>
  </si>
  <si>
    <t>峰1：起点(194,2909.0) 峰值(210,6567.0) 终点(219,2836.0)</t>
  </si>
  <si>
    <t>sample_22_peak_2_(426-431-440).png</t>
  </si>
  <si>
    <t>峰2：起点(426,3098.0) 峰值(431,22098.0) 终点(440,4012.0)</t>
  </si>
  <si>
    <t>sample_22_peak_3_(442-474-499).png</t>
  </si>
  <si>
    <t>峰3：起点(442,3756.0) 峰值(474,4907.0) 终点(499,1264.0)</t>
  </si>
  <si>
    <t>sample_23_peak_1_(194-208-216).png</t>
  </si>
  <si>
    <t>峰1：起点(194,3069.0) 峰值(208,5822.0) 终点(216,3000.0)</t>
  </si>
  <si>
    <t>sample_23_peak_2_(424-430-439).png</t>
  </si>
  <si>
    <t>峰2：起点(424,3630.0) 峰值(430,23328.0) 终点(439,4433.0)</t>
  </si>
  <si>
    <t>sample_24_peak_1_(190-209-222).png</t>
  </si>
  <si>
    <t>峰1：起点(190,3139.0) 峰值(209,7139.0) 终点(222,3143.0)</t>
  </si>
  <si>
    <t>sample_24_peak_2_(421-426-439).png</t>
  </si>
  <si>
    <t>峰2：起点(421,3257.0) 峰值(426,15618.0) 终点(439,4042.0)</t>
  </si>
  <si>
    <t>sample_25_peak_1_(99-116-124).png</t>
  </si>
  <si>
    <t>峰1：起点(99,2025.0) 峰值(116,3260.0) 终点(124,2704.0)</t>
  </si>
  <si>
    <t>sample_25_peak_2_(201-210-221).png</t>
  </si>
  <si>
    <t>峰2：起点(201,2826.0) 峰值(210,3145.0) 终点(221,3047.0)</t>
  </si>
  <si>
    <t>sample_25_peak_3_(348-362-373).png</t>
  </si>
  <si>
    <t>峰3：起点(348,3334.0) 峰值(362,3542.0) 终点(373,3327.0)</t>
  </si>
  <si>
    <t>sample_26_peak_1_(96-113-121).png</t>
  </si>
  <si>
    <t>峰1：起点(96,2227.0) 峰值(113,4184.0) 终点(121,2997.0)</t>
  </si>
  <si>
    <t>sample_26_peak_2_(198-207-216).png</t>
  </si>
  <si>
    <t>峰2：起点(198,3124.0) 峰值(207,3574.0) 终点(216,3346.0)</t>
  </si>
  <si>
    <t>sample_26_peak_3_(341-361-370).png</t>
  </si>
  <si>
    <t>峰3：起点(341,3634.0) 峰值(361,4086.0) 终点(370,3699.0)</t>
  </si>
  <si>
    <t>sample_27_peak_1_(96-111-118).png</t>
  </si>
  <si>
    <t>峰1：起点(96,2526.0) 峰值(111,4515.0) 终点(118,3230.0)</t>
  </si>
  <si>
    <t>sample_27_peak_2_(197-204-212).png</t>
  </si>
  <si>
    <t>峰2：起点(197,3463.0) 峰值(204,3985.0) 终点(212,3629.0)</t>
  </si>
  <si>
    <t>sample_27_peak_3_(341-361-373).png</t>
  </si>
  <si>
    <t>峰3：起点(341,4049.0) 峰值(361,4930.0) 终点(373,3995.0)</t>
  </si>
  <si>
    <t>sample_28_peak_1_(95-104-108).png</t>
  </si>
  <si>
    <t>峰1：起点(95,2809.0) 峰值(104,4401.0) 终点(108,3561.0)</t>
  </si>
  <si>
    <t>sample_28_overlap_1_(184-209).png</t>
  </si>
  <si>
    <t>重叠峰1：起点(184,3622.0) 终点(209,3878.0) 总面积=100460.0000 重叠峰数量：2</t>
  </si>
  <si>
    <t>sample_28_peak_2_(338-360-375).png</t>
  </si>
  <si>
    <t>峰2：起点(338,4406.0) 峰值(360,5928.0) 终点(375,4371.0)</t>
  </si>
  <si>
    <t>sample_29_peak_1_(94-104-109).png</t>
  </si>
  <si>
    <t>峰1：起点(94,2788.0) 峰值(104,4685.0) 终点(109,3412.0)</t>
  </si>
  <si>
    <t>sample_29_peak_2_(337-363-375).png</t>
  </si>
  <si>
    <t>峰2：起点(337,4529.0) 峰值(363,7249.0) 终点(375,4558.0)</t>
  </si>
  <si>
    <t>sample_30_peak_1_(91-103-111).png</t>
  </si>
  <si>
    <t>峰1：起点(91,3027.0) 峰值(103,5780.0) 终点(111,3631.0)</t>
  </si>
  <si>
    <t>sample_30_overlap_1_(220-252).png</t>
  </si>
  <si>
    <t>重叠峰1：起点(220,4404.0) 终点(252,4533.0) 总面积=157607.0000 重叠峰数量：2</t>
  </si>
  <si>
    <t>sample_30_peak_2_(332-367-381).png</t>
  </si>
  <si>
    <t>峰2：起点(332,5071.0) 峰值(367,10885.0) 终点(381,5069.0)</t>
  </si>
  <si>
    <t>sample_31_peak_1_(92-104-110).png</t>
  </si>
  <si>
    <t>峰1：起点(92,2948.0) 峰值(104,5916.0) 终点(110,3631.0)</t>
  </si>
  <si>
    <t>sample_31_peak_2_(328-368-384).png</t>
  </si>
  <si>
    <t>峰2：起点(328,4891.0) 峰值(368,11890.0) 终点(384,5085.0)</t>
  </si>
  <si>
    <t>sample_32_peak_1_(96-111-118).png</t>
  </si>
  <si>
    <t>sample_32_peak_2_(198-203-210).png</t>
  </si>
  <si>
    <t>峰2：起点(198,3495.0) 峰值(203,3965.0) 终点(210,3671.0)</t>
  </si>
  <si>
    <t>sample_32_peak_3_(340-361-373).png</t>
  </si>
  <si>
    <t>峰3：起点(340,4009.0) 峰值(361,4930.0) 终点(373,3995.0)</t>
  </si>
  <si>
    <t>sample_33_peak_1_(95-104-111).png</t>
  </si>
  <si>
    <t>峰1：起点(95,2809.0) 峰值(104,4401.0) 终点(111,3457.0)</t>
  </si>
  <si>
    <t>sample_33_overlap_1_(186-209).png</t>
  </si>
  <si>
    <t>重叠峰1：起点(186,3683.0) 终点(209,3878.0) 总面积=93264.0000 重叠峰数量：2</t>
  </si>
  <si>
    <t>sample_33_peak_2_(338-361-372).png</t>
  </si>
  <si>
    <t>峰2：起点(338,4406.0) 峰值(361,5926.0) 终点(372,4464.0)</t>
  </si>
  <si>
    <t>sample_34_peak_1_(94-104-109).png</t>
  </si>
  <si>
    <t>sample_34_overlap_1_(219-251).png</t>
  </si>
  <si>
    <t>重叠峰1：起点(219,3942.0) 终点(251,4119.0) 总面积=137623.0000 重叠峰数量：2</t>
  </si>
  <si>
    <t>sample_34_peak_2_(338-362-375).png</t>
  </si>
  <si>
    <t>峰2：起点(338,4583.0) 峰值(362,7236.0) 终点(375,4558.0)</t>
  </si>
  <si>
    <t>sample_35_peak_1_(91-104-111).png</t>
  </si>
  <si>
    <t>峰1：起点(91,3027.0) 峰值(104,5877.0) 终点(111,3631.0)</t>
  </si>
  <si>
    <t>sample_35_peak_2_(334-366-380).png</t>
  </si>
  <si>
    <t>峰2：起点(334,5173.0) 峰值(366,10910.0) 终点(380,5137.0)</t>
  </si>
  <si>
    <t>sample_36_peak_1_(91-104-110).png</t>
  </si>
  <si>
    <t>峰1：起点(91,2856.0) 峰值(104,5916.0) 终点(110,3631.0)</t>
  </si>
  <si>
    <t>sample_36_peak_2_(336-368-383).png</t>
  </si>
  <si>
    <t>峰2：起点(336,5317.0) 峰值(368,11890.0) 终点(383,5148.0)</t>
  </si>
  <si>
    <t>sample_37_peak_1_(153-157-161).png</t>
  </si>
  <si>
    <t>峰1：起点(153,3816.0) 峰值(157,3901.0) 终点(161,3778.0)</t>
  </si>
  <si>
    <t>sample_37_peak_2_(211-223-236).png</t>
  </si>
  <si>
    <t>峰2：起点(211,3927.0) 峰值(223,4146.0) 终点(236,3887.0)</t>
  </si>
  <si>
    <t>sample_37_peak_3_(289-293-297).png</t>
  </si>
  <si>
    <t>峰3：起点(289,3996.0) 峰值(293,4134.0) 终点(297,4024.0)</t>
  </si>
  <si>
    <t>sample_38_peak_1_(61-69-77).png</t>
  </si>
  <si>
    <t>峰1：起点(61,3603.0) 峰值(69,4051.0) 终点(77,3815.0)</t>
  </si>
  <si>
    <t>sample_38_peak_2_(150-155-158).png</t>
  </si>
  <si>
    <t>峰2：起点(150,4010.0) 峰值(155,4158.0) 终点(158,3974.0)</t>
  </si>
  <si>
    <t>sample_38_peak_3_(199-222-236).png</t>
  </si>
  <si>
    <t>峰3：起点(199,4066.0) 峰值(222,4622.0) 终点(236,4147.0)</t>
  </si>
  <si>
    <t>sample_38_peak_4_(288-292-295).png</t>
  </si>
  <si>
    <t>峰4：起点(288,4281.0) 峰值(292,4437.0) 终点(295,4281.0)</t>
  </si>
  <si>
    <t>sample_39_peak_1_(60-66-72).png</t>
  </si>
  <si>
    <t>峰1：起点(60,3755.0) 峰值(66,4244.0) 终点(72,3930.0)</t>
  </si>
  <si>
    <t>sample_39_peak_2_(147-155-159).png</t>
  </si>
  <si>
    <t>峰2：起点(147,4066.0) 峰值(155,4313.0) 终点(159,4061.0)</t>
  </si>
  <si>
    <t>sample_39_peak_3_(199-222-234).png</t>
  </si>
  <si>
    <t>峰3：起点(199,4248.0) 峰值(222,5262.0) 终点(234,4338.0)</t>
  </si>
  <si>
    <t>sample_39_peak_4_(289-291-295).png</t>
  </si>
  <si>
    <t>峰4：起点(289,4449.0) 峰值(291,4672.0) 终点(295,4442.0)</t>
  </si>
  <si>
    <t>sample_40_overlap_1_(48-70).png</t>
  </si>
  <si>
    <t>重叠峰1：起点(48,3679.0) 终点(70,3894.0) 总面积=89301.0000 重叠峰数量：2</t>
  </si>
  <si>
    <t>sample_40_peak_1_(147-154-159).png</t>
  </si>
  <si>
    <t>峰1：起点(147,4144.0) 峰值(154,4395.0) 终点(159,4126.0)</t>
  </si>
  <si>
    <t>sample_40_peak_2_(197-223-235).png</t>
  </si>
  <si>
    <t>峰2：起点(197,4347.0) 峰值(223,5923.0) 终点(235,4431.0)</t>
  </si>
  <si>
    <t>sample_41_peak_1_(59-64-70).png</t>
  </si>
  <si>
    <t>峰1：起点(59,3661.0) 峰值(64,3988.0) 终点(70,3861.0)</t>
  </si>
  <si>
    <t>sample_41_peak_2_(146-152-157).png</t>
  </si>
  <si>
    <t>峰2：起点(146,4121.0) 峰值(152,4350.0) 终点(157,4112.0)</t>
  </si>
  <si>
    <t>sample_41_peak_3_(199-225-238).png</t>
  </si>
  <si>
    <t>峰3：起点(199,4494.0) 峰值(225,7211.0) 终点(238,4476.0)</t>
  </si>
  <si>
    <t>sample_42_peak_1_(60-64-70).png</t>
  </si>
  <si>
    <t>峰1：起点(60,3792.0) 峰值(64,4221.0) 终点(70,4032.0)</t>
  </si>
  <si>
    <t>sample_42_peak_2_(144-150-155).png</t>
  </si>
  <si>
    <t>峰2：起点(144,4326.0) 峰值(150,4567.0) 终点(155,4367.0)</t>
  </si>
  <si>
    <t>sample_42_peak_3_(198-229-242).png</t>
  </si>
  <si>
    <t>峰3：起点(198,5039.0) 峰值(229,10620.0) 终点(242,4882.0)</t>
  </si>
  <si>
    <t>sample_43_peak_1_(60-66-72).png</t>
  </si>
  <si>
    <t>峰1：起点(60,3586.0) 峰值(66,4082.0) 终点(72,3956.0)</t>
  </si>
  <si>
    <t>sample_43_peak_2_(145-149-154).png</t>
  </si>
  <si>
    <t>峰2：起点(145,4294.0) 峰值(149,4504.0) 终点(154,4314.0)</t>
  </si>
  <si>
    <t>sample_43_peak_3_(198-230-245).png</t>
  </si>
  <si>
    <t>峰3：起点(198,5064.0) 峰值(230,11646.0) 终点(245,4897.0)</t>
  </si>
  <si>
    <t>sample_44_peak_1_(332-341-348).png</t>
  </si>
  <si>
    <t>峰1：起点(332,6012.0) 峰值(341,6541.0) 终点(348,6013.0)</t>
  </si>
  <si>
    <t>sample_44_peak_2_(374-383-393).png</t>
  </si>
  <si>
    <t>峰2：起点(374,6472.0) 峰值(383,7786.000000000001) 终点(393,6079.0)</t>
  </si>
  <si>
    <t>sample_44_peak_3_(438-451-462).png</t>
  </si>
  <si>
    <t>峰3：起点(438,5859.0) 峰值(451,6291.0) 终点(462,5816.0)</t>
  </si>
  <si>
    <t>sample_44_peak_4_(512-532-551).png</t>
  </si>
  <si>
    <t>峰4：起点(512,5901.0) 峰值(532,7364.0) 终点(551,6000.0)</t>
  </si>
  <si>
    <t>sample_44_peak_5_(589-610-626).png</t>
  </si>
  <si>
    <t>峰5：起点(589,5894.0) 峰值(610,8346.0) 终点(626,5981.0)</t>
  </si>
  <si>
    <t>sample_44_peak_6_(698-717-730).png</t>
  </si>
  <si>
    <t>峰6：起点(698,5712.0) 峰值(717,7438.999999999999) 终点(730,5585.0)</t>
  </si>
  <si>
    <t>sample_44_peak_7_(817-837-852).png</t>
  </si>
  <si>
    <t>峰7：起点(817,5233.0) 峰值(837,6146.0) 终点(852,5091.0)</t>
  </si>
  <si>
    <t>sample_44_overlap_1_(866-922).png</t>
  </si>
  <si>
    <t>重叠峰1：起点(866,4993.0) 终点(922,4537.0) 总面积=330993.0000 重叠峰数量：2</t>
  </si>
  <si>
    <t>sample_45_peak_1_(148-157-161).png</t>
  </si>
  <si>
    <t>峰1：起点(148,5512.0) 峰值(157,6266.0) 终点(161,5953.0)</t>
  </si>
  <si>
    <t>sample_45_overlap_1_(876-925).png</t>
  </si>
  <si>
    <t>重叠峰1：起点(876,5374.0) 终点(925,4640.0) 总面积=264840.0000 重叠峰数量：2</t>
  </si>
  <si>
    <t>sample_46_overlap_1_(300-360).png</t>
  </si>
  <si>
    <t>重叠峰1：起点(300,6643.0) 终点(360,6991.0) 总面积=431406.0000 重叠峰数量：2</t>
  </si>
  <si>
    <t>sample_46_peak_1_(454-473-486).png</t>
  </si>
  <si>
    <t>峰1：起点(454,6835.0) 峰值(473,7054.0) 终点(486,6824.0)</t>
  </si>
  <si>
    <t>sample_46_peak_2_(876-889-899).png</t>
  </si>
  <si>
    <t>峰2：起点(876,5822.0) 峰值(889,6543.0) 终点(899,5306.0)</t>
  </si>
  <si>
    <t>sample_46_peak_3_(899-910-925).png</t>
  </si>
  <si>
    <t>峰3：起点(899,5306.0) 峰值(910,6390.0) 终点(925,5121.0)</t>
  </si>
  <si>
    <t>sample_47_overlap_1_(302-355).png</t>
  </si>
  <si>
    <t>重叠峰1：起点(302,6985.0) 终点(355,7570.0) 总面积=426070.0000 重叠峰数量：2</t>
  </si>
  <si>
    <t>sample_47_peak_1_(451-473-491).png</t>
  </si>
  <si>
    <t>峰1：起点(451,7167.0) 峰值(473,7735.0) 终点(491,7065.0)</t>
  </si>
  <si>
    <t>sample_47_overlap_2_(875-918).png</t>
  </si>
  <si>
    <t>重叠峰2：起点(875,5983.0) 终点(918,5616.0) 总面积=290514.0000 重叠峰数量：2</t>
  </si>
  <si>
    <t>sample_48_overlap_1_(302-363).png</t>
  </si>
  <si>
    <t>重叠峰1：起点(302,7433.999999999999) 终点(363,7965.999999999999) 总面积=598016.0000 重叠峰数量：2</t>
  </si>
  <si>
    <t>sample_48_peak_1_(450-479-491).png</t>
  </si>
  <si>
    <t>峰1：起点(450,7474.000000000001) 峰值(479,8896.0) 终点(491,7451.999999999999)</t>
  </si>
  <si>
    <t>sample_48_overlap_2_(871-914).png</t>
  </si>
  <si>
    <t>重叠峰2：起点(871,6089.0) 终点(914,5697.0) 总面积=334321.0000 重叠峰数量：2</t>
  </si>
  <si>
    <t>sample_49_overlap_1_(301-366).png</t>
  </si>
  <si>
    <t>重叠峰1：起点(301,7505.000000000001) 终点(366,8229.0) 总面积=726433.0000 重叠峰数量：2</t>
  </si>
  <si>
    <t>sample_49_peak_1_(454-483-496).png</t>
  </si>
  <si>
    <t>峰1：起点(454,7763.0) 峰值(483,10332.0) 终点(496,7575.0)</t>
  </si>
  <si>
    <t>sample_49_overlap_2_(868-911).png</t>
  </si>
  <si>
    <t>重叠峰2：起点(868,6351.0) 终点(911,5943.0) 总面积=400479.0000 重叠峰数量：2</t>
  </si>
  <si>
    <t>sample_50_overlap_1_(296-366).png</t>
  </si>
  <si>
    <t>重叠峰1：起点(296,7229.0) 终点(366,8736.0) 总面积=848598.0000 重叠峰数量：2</t>
  </si>
  <si>
    <t>sample_50_peak_1_(452-486-501).png</t>
  </si>
  <si>
    <t>峰1：起点(452,7686.0) 峰值(486,11084.0) 终点(501,7630.000000000001)</t>
  </si>
  <si>
    <t>sample_50_peak_2_(871-891-913).png</t>
  </si>
  <si>
    <t>峰2：起点(871,6387.0) 峰值(891,17124.0) 终点(913,5699.0)</t>
  </si>
  <si>
    <t>sample_51_overlap_1_(300-378).png</t>
  </si>
  <si>
    <t>重叠峰1：起点(300,7549.0) 终点(378,8802.0) 总面积=1111336.0000 重叠峰数量：2</t>
  </si>
  <si>
    <t>sample_51_peak_1_(458-488-505).png</t>
  </si>
  <si>
    <t>峰1：起点(458,8090.000000000001) 峰值(488,12303.0) 终点(505,7804.000000000001)</t>
  </si>
  <si>
    <t>sample_51_overlap_2_(868-921).png</t>
  </si>
  <si>
    <t>重叠峰2：起点(868,6544.0) 终点(921,5062.0) 总面积=566752.0000 重叠峰数量：2</t>
  </si>
  <si>
    <t>sample_52_peak_1_(43-54-68).png</t>
  </si>
  <si>
    <t>峰1：起点(43,3504.0) 峰值(54,4698.0) 终点(68,4034.0)</t>
  </si>
  <si>
    <t>sample_52_peak_2_(116-153-170).png</t>
  </si>
  <si>
    <t>峰2：起点(116,5224.0) 峰值(153,19344.0) 终点(170,4190.0)</t>
  </si>
  <si>
    <t>sample_53_peak_1_(43-51-61).png</t>
  </si>
  <si>
    <t>峰1：起点(43,3504.0) 峰值(51,4242.0) 终点(61,4047.0)</t>
  </si>
  <si>
    <t>sample_53_peak_2_(69-81-91).png</t>
  </si>
  <si>
    <t>峰2：起点(69,3774.0) 峰值(81,4220.0) 终点(91,3861.0)</t>
  </si>
  <si>
    <t>sample_53_peak_3_(120-151-163).png</t>
  </si>
  <si>
    <t>峰3：起点(120,4986.0) 峰值(151,16107.0) 终点(163,4480.0)</t>
  </si>
  <si>
    <t>sample_54_peak_1_(112-143-156).png</t>
  </si>
  <si>
    <t>峰1：起点(112,4147.0) 峰值(143,10737.0) 终点(156,3928.0)</t>
  </si>
  <si>
    <t>sample_55_peak_1_(112-136-148).png</t>
  </si>
  <si>
    <t>峰1：起点(112,3955.0) 峰值(136,7150.0) 终点(148,3867.0)</t>
  </si>
  <si>
    <t>sample_56_peak_1_(114-134-145).png</t>
  </si>
  <si>
    <t>峰1：起点(114,3830.0) 峰值(134,5506.0) 终点(145,3793.0)</t>
  </si>
  <si>
    <t>sample_57_peak_1_(119-133-141).png</t>
  </si>
  <si>
    <t>峰1：起点(119,3672.0) 峰值(133,4294.0) 终点(141,3681.0)</t>
  </si>
  <si>
    <t>sample_58_peak_1_(120-133-143).png</t>
  </si>
  <si>
    <t>峰1：起点(120,3553.0) 峰值(133,3762.0) 终点(143,3533.0)</t>
  </si>
  <si>
    <t>sample_58_peak_2_(422-434-444).png</t>
  </si>
  <si>
    <t>峰2：起点(422,3348.0) 峰值(434,3462.0) 终点(444,3308.0)</t>
  </si>
  <si>
    <t>sample_59_overlap_1_(31-71).png</t>
  </si>
  <si>
    <t>重叠峰1：起点(31,3825.0) 终点(71,4366.0) 总面积=285370.0000 重叠峰数量：2</t>
  </si>
  <si>
    <t>sample_59_peak_1_(120-142-156).png</t>
  </si>
  <si>
    <t>峰1：起点(120,4293.0) 峰值(142,9454.0) 终点(156,3973.0)</t>
  </si>
  <si>
    <t>sample_59_peak_2_(419-442-456).png</t>
  </si>
  <si>
    <t>峰2：起点(419,3824.0) 峰值(442,13558.0) 终点(456,3532.0)</t>
  </si>
  <si>
    <t>sample_60_overlap_1_(265-309).png</t>
  </si>
  <si>
    <t>重叠峰1：起点(265,4246.0) 终点(309,4467.0) 总面积=204177.0000 重叠峰数量：2</t>
  </si>
  <si>
    <t>sample_60_peak_1_(345-362-369).png</t>
  </si>
  <si>
    <t>峰1：起点(345,4325.0) 峰值(362,4411.0) 终点(369,4300.0)</t>
  </si>
  <si>
    <t>sample_60_peak_2_(581-599-614).png</t>
  </si>
  <si>
    <t>峰2：起点(581,4347.0) 峰值(599,4612.0) 终点(614,4329.0)</t>
  </si>
  <si>
    <t>sample_61_overlap_1_(262-308).png</t>
  </si>
  <si>
    <t>重叠峰1：起点(262,4449.0) 终点(308,4700.0) 总面积=229925.0000 重叠峰数量：2</t>
  </si>
  <si>
    <t>sample_61_peak_1_(346-361-370).png</t>
  </si>
  <si>
    <t>峰1：起点(346,4585.0) 峰值(361,4857.0) 终点(370,4515.0)</t>
  </si>
  <si>
    <t>sample_61_peak_2_(581-598-612).png</t>
  </si>
  <si>
    <t>峰2：起点(581,4578.0) 峰值(598,5220.0) 终点(612,4551.0)</t>
  </si>
  <si>
    <t>sample_62_peak_1_(282-294-306).png</t>
  </si>
  <si>
    <t>峰1：起点(282,5262.0) 峰值(294,7062.0) 终点(306,5159.0)</t>
  </si>
  <si>
    <t>sample_62_peak_2_(346-364-371).png</t>
  </si>
  <si>
    <t>峰2：起点(346,4899.0) 峰值(364,5648.0) 终点(371,4777.0)</t>
  </si>
  <si>
    <t>sample_62_peak_3_(581-600-611).png</t>
  </si>
  <si>
    <t>峰3：起点(581,4809.0) 峰值(600,6899.0) 终点(611,4862.0)</t>
  </si>
  <si>
    <t>sample_63_overlap_1_(263-309).png</t>
  </si>
  <si>
    <t>重叠峰1：起点(263,4956.0) 终点(309,5495.0) 总面积=312809.0000 重叠峰数量：2</t>
  </si>
  <si>
    <t>sample_63_peak_1_(335-343-347).png</t>
  </si>
  <si>
    <t>峰1：起点(335,5150.0) 峰值(343,6233.0) 终点(347,5238.0)</t>
  </si>
  <si>
    <t>sample_63_peak_2_(348-366-375).png</t>
  </si>
  <si>
    <t>峰2：起点(348,5244.0) 峰值(366,6811.0) 终点(375,4987.0)</t>
  </si>
  <si>
    <t>sample_63_peak_3_(579-601-616).png</t>
  </si>
  <si>
    <t>峰3：起点(579,5032.0) 峰值(601,9477.0) 终点(616,4806.0)</t>
  </si>
  <si>
    <t>sample_64_overlap_1_(262-311).png</t>
  </si>
  <si>
    <t>重叠峰1：起点(262,4914.0) 终点(311,6045.0) 总面积=408341.0000 重叠峰数量：2</t>
  </si>
  <si>
    <t>sample_64_peak_1_(351-371-381).png</t>
  </si>
  <si>
    <t>峰1：起点(351,5546.0) 峰值(371,8541.0) 终点(381,5124.0)</t>
  </si>
  <si>
    <t>sample_64_peak_2_(576-600-611).png</t>
  </si>
  <si>
    <t>峰2：起点(576,5268.0) 峰值(600,13499.0) 终点(611,5042.0)</t>
  </si>
  <si>
    <t>sample_65_overlap_1_(263-314).png</t>
  </si>
  <si>
    <t>重叠峰1：起点(263,5150.0) 终点(314,6672.0) 总面积=557862.0000 重叠峰数量：2</t>
  </si>
  <si>
    <t>sample_65_peak_2_(355-377-388).png</t>
  </si>
  <si>
    <t>峰2：起点(355,5921.0) 峰值(377,11036.0) 终点(388,5372.0)</t>
  </si>
  <si>
    <t>sample_65_peak_3_(571-599-613).png</t>
  </si>
  <si>
    <t>峰3：起点(571,5336.0) 峰值(599,17631.0) 终点(613,4837.0)</t>
  </si>
  <si>
    <t>sample_66_overlap_1_(265-332).png</t>
  </si>
  <si>
    <t>重叠峰1：起点(265,5252.0) 终点(332,5766.0) 总面积=741182.0000 重叠峰数量：3</t>
  </si>
  <si>
    <t>sample_66_peak_2_(361-383-394).png</t>
  </si>
  <si>
    <t>峰2：起点(361,6205.0) 峰值(383,13059.0) 终点(394,5492.0)</t>
  </si>
  <si>
    <t>sample_66_overlap_2_(463-504).png</t>
  </si>
  <si>
    <t>重叠峰2：起点(463,5014.0) 终点(504,5077.0) 总面积=240407.0000 重叠峰数量：2</t>
  </si>
  <si>
    <t>sample_66_peak_3_(571-598-610).png</t>
  </si>
  <si>
    <t>峰3：起点(571,5474.0) 峰值(598,18428.0) 终点(610,5253.0)</t>
  </si>
  <si>
    <t>sample_67_peak_1_(564-577-595).png</t>
  </si>
  <si>
    <t>峰1：起点(564,4445.0) 峰值(577,4610.0) 终点(595,4402.0)</t>
  </si>
  <si>
    <t>sample_68_peak_1_(227-245-257).png</t>
  </si>
  <si>
    <t>峰1：起点(227,4210.0) 峰值(245,5173.0) 终点(257,4716.0)</t>
  </si>
  <si>
    <t>sample_68_peak_2_(303-316-324).png</t>
  </si>
  <si>
    <t>峰2：起点(303,4656.0) 峰值(316,4822.0) 终点(324,4620.0)</t>
  </si>
  <si>
    <t>sample_68_peak_3_(562-579-596).png</t>
  </si>
  <si>
    <t>峰3：起点(562,4604.0) 峰值(579,4944.0) 终点(596,4559.0)</t>
  </si>
  <si>
    <t>sample_69_peak_1_(227-243-255).png</t>
  </si>
  <si>
    <t>峰1：起点(227,4601.0) 峰值(243,6689.0) 终点(255,5118.0)</t>
  </si>
  <si>
    <t>sample_69_peak_2_(302-316-323).png</t>
  </si>
  <si>
    <t>峰2：起点(302,4966.0) 峰值(316,5557.0) 终点(323,4883.0)</t>
  </si>
  <si>
    <t>sample_69_overlap_2_(562-597).png</t>
  </si>
  <si>
    <t>重叠峰2：起点(562,4934.0) 终点(597,4767.0) 总面积=194557.0000 重叠峰数量：2</t>
  </si>
  <si>
    <t>sample_70_peak_1_(224-244-256).png</t>
  </si>
  <si>
    <t>峰1：起点(224,4701.0) 峰值(244,9376.0) 终点(256,5514.0)</t>
  </si>
  <si>
    <t>sample_70_peak_2_(298-317-325).png</t>
  </si>
  <si>
    <t>峰2：起点(298,5190.0) 峰值(317,6569.0) 终点(325,5173.0)</t>
  </si>
  <si>
    <t>sample_70_peak_3_(561-576-594).png</t>
  </si>
  <si>
    <t>峰3：起点(561,5372.0) 峰值(576,8547.0) 终点(594,5011.0)</t>
  </si>
  <si>
    <t>sample_71_peak_1_(224-244-259).png</t>
  </si>
  <si>
    <t>峰1：起点(224,4761.0) 峰值(244,14081.0) 终点(259,5786.0)</t>
  </si>
  <si>
    <t>sample_71_peak_2_(300-320-331).png</t>
  </si>
  <si>
    <t>峰2：起点(300,5560.0) 峰值(320,8098.0) 终点(331,5235.0)</t>
  </si>
  <si>
    <t>sample_71_peak_3_(552-576-596).png</t>
  </si>
  <si>
    <t>峰3：起点(552,5358.0) 峰值(576,12135.0) 终点(596,4980.0)</t>
  </si>
  <si>
    <t>sample_72_peak_1_(226-245-261).png</t>
  </si>
  <si>
    <t>峰1：起点(226,5385.0) 峰值(245,21456.0) 终点(261,6729.0)</t>
  </si>
  <si>
    <t>sample_72_peak_2_(298-325-335).png</t>
  </si>
  <si>
    <t>峰2：起点(298,6051.0) 峰值(325,10590.0) 终点(335,5846.0)</t>
  </si>
  <si>
    <t>sample_72_peak_3_(552-577-597).png</t>
  </si>
  <si>
    <t>峰3：起点(552,5886.0) 峰值(577,17742.0) 终点(597,5050.0)</t>
  </si>
  <si>
    <t>sample_73_peak_1_(225-247-266).png</t>
  </si>
  <si>
    <t>峰1：起点(225,4886.0) 峰值(247,21868.0) 终点(266,6637.0)</t>
  </si>
  <si>
    <t>sample_73_peak_2_(300-327-341).png</t>
  </si>
  <si>
    <t>峰2：起点(300,6029.0) 峰值(327,11227.0) 终点(341,5657.0)</t>
  </si>
  <si>
    <t>sample_73_overlap_1_(422-473).png</t>
  </si>
  <si>
    <t>重叠峰1：起点(422,5162.0) 终点(473,5035.0) 总面积=293532.0000 重叠峰数量：2</t>
  </si>
  <si>
    <t>sample_73_peak_3_(551-580-597).png</t>
  </si>
  <si>
    <t>峰3：起点(551,5630.0) 峰值(580,18229.0) 终点(597,5077.0)</t>
  </si>
  <si>
    <t>sample_74_overlap_1_(306-337).png</t>
  </si>
  <si>
    <t>重叠峰1：起点(306,4727.0) 终点(337,4863.0) 总面积=159728.0000 重叠峰数量：2</t>
  </si>
  <si>
    <t>sample_74_peak_1_(374-382-393).png</t>
  </si>
  <si>
    <t>峰1：起点(374,4748.0) 峰值(382,4871.0) 终点(393,4672.0)</t>
  </si>
  <si>
    <t>sample_74_peak_2_(576-585-595).png</t>
  </si>
  <si>
    <t>峰2：起点(576,4715.0) 峰值(585,4952.0) 终点(595,4649.0)</t>
  </si>
  <si>
    <t>sample_75_overlap_1_(301-336).png</t>
  </si>
  <si>
    <t>重叠峰1：起点(301,4989.0) 终点(336,5163.0) 总面积=196378.0000 重叠峰数量：2</t>
  </si>
  <si>
    <t>sample_75_peak_1_(371-381-389).png</t>
  </si>
  <si>
    <t>峰1：起点(371,5061.0) 峰值(381,5392.0) 终点(389,4994.0)</t>
  </si>
  <si>
    <t>sample_75_peak_2_(570-583-594).png</t>
  </si>
  <si>
    <t>峰2：起点(570,5027.0) 峰值(583,5785.0) 终点(594,4970.0)</t>
  </si>
  <si>
    <t>sample_76_overlap_1_(297-336).png</t>
  </si>
  <si>
    <t>重叠峰1：起点(297,5197.0) 终点(336,5494.0) 总面积=247268.0000 重叠峰数量：2</t>
  </si>
  <si>
    <t>sample_76_peak_1_(369-380-390).png</t>
  </si>
  <si>
    <t>峰1：起点(369,5320.0) 峰值(380,6274.0) 终点(390,5230.0)</t>
  </si>
  <si>
    <t>sample_76_peak_2_(569-584-597).png</t>
  </si>
  <si>
    <t>峰2：起点(569,5252.0) 峰值(584,7565.0) 终点(597,5158.0)</t>
  </si>
  <si>
    <t>sample_77_overlap_1_(300-335).png</t>
  </si>
  <si>
    <t>重叠峰1：起点(300,5634.0) 终点(335,5971.0) 总面积=278691.0000 重叠峰数量：2</t>
  </si>
  <si>
    <t>sample_77_peak_1_(370-384-391).png</t>
  </si>
  <si>
    <t>峰1：起点(370,5795.0) 峰值(384,7584.0) 终点(391,5592.0)</t>
  </si>
  <si>
    <t>sample_77_peak_2_(570-587-597).png</t>
  </si>
  <si>
    <t>峰2：起点(570,5551.0) 峰值(587,10243.0) 终点(597,5474.0)</t>
  </si>
  <si>
    <t>sample_78_overlap_1_(298-346).png</t>
  </si>
  <si>
    <t>重叠峰1：起点(298,5705.0) 终点(346,5770.0) 总面积=433149.0000 重叠峰数量：3</t>
  </si>
  <si>
    <t>sample_78_peak_1_(370-385-394).png</t>
  </si>
  <si>
    <t>峰1：起点(370,6019.0) 峰值(385,9248.0) 终点(394,5721.0)</t>
  </si>
  <si>
    <t>sample_78_peak_2_(571-590-601).png</t>
  </si>
  <si>
    <t>峰2：起点(571,5669.0) 峰值(590,13797.0) 终点(601,5543.0)</t>
  </si>
  <si>
    <t>sample_79_overlap_1_(296-346).png</t>
  </si>
  <si>
    <t>重叠峰1：起点(296,5722.0) 终点(346,6285.0) 总面积=594225.0000 重叠峰数量：3</t>
  </si>
  <si>
    <t>sample_79_peak_1_(368-388-398).png</t>
  </si>
  <si>
    <t>峰1：起点(368,6456.0) 峰值(388,12106.0) 终点(398,6146.0)</t>
  </si>
  <si>
    <t>sample_79_overlap_2_(465-503).png</t>
  </si>
  <si>
    <t>重叠峰2：起点(465,5453.0) 终点(503,5607.0) 总面积=234574.0000 重叠峰数量：2</t>
  </si>
  <si>
    <t>sample_79_peak_2_(567-588-603).png</t>
  </si>
  <si>
    <t>峰2：起点(567,5986.0) 峰值(588,18484.0) 终点(603,5304.0)</t>
  </si>
  <si>
    <t>sample_80_overlap_1_(294-348).png</t>
  </si>
  <si>
    <t>重叠峰1：起点(294,5762.0) 终点(348,6227.0) 总面积=658926.0000 重叠峰数量：3</t>
  </si>
  <si>
    <t>sample_80_peak_1_(367-391-401).png</t>
  </si>
  <si>
    <t>峰1：起点(367,6541.0) 峰值(391,12628.0) 终点(401,6066.0)</t>
  </si>
  <si>
    <t>sample_80_overlap_2_(464-503).png</t>
  </si>
  <si>
    <t>重叠峰2：起点(464,5391.0) 终点(503,5625.0) 总面积=245080.0000 重叠峰数量：2</t>
  </si>
  <si>
    <t>sample_80_peak_2_(564-588-602).png</t>
  </si>
  <si>
    <t>峰2：起点(564,5914.0) 峰值(588,19156.0) 终点(602,5163.0)</t>
  </si>
  <si>
    <t>sample_81_overlap_1_(39-82).png</t>
  </si>
  <si>
    <t>重叠峰1：起点(39,4260.0) 终点(82,4516.0) 总面积=201186.0000 重叠峰数量：2</t>
  </si>
  <si>
    <t>sample_81_peak_1_(125-135-143).png</t>
  </si>
  <si>
    <t>峰1：起点(125,4400.0) 峰值(135,4503.0) 终点(143,4330.0)</t>
  </si>
  <si>
    <t>sample_81_peak_2_(359-375-388).png</t>
  </si>
  <si>
    <t>峰2：起点(359,4394.0) 峰值(375,4647.0) 终点(388,4368.0)</t>
  </si>
  <si>
    <t>sample_82_overlap_1_(37-82).png</t>
  </si>
  <si>
    <t>重叠峰1：起点(37,4451.0) 终点(82,4721.0) 总面积=225315.0000 重叠峰数量：2</t>
  </si>
  <si>
    <t>sample_82_peak_1_(123-136-142).png</t>
  </si>
  <si>
    <t>峰1：起点(123,4633.0) 峰值(136,4858.0) 终点(142,4559.0)</t>
  </si>
  <si>
    <t>sample_82_peak_2_(358-373-387).png</t>
  </si>
  <si>
    <t>峰2：起点(358,4633.0) 峰值(373,5224.0) 终点(387,4554.0)</t>
  </si>
  <si>
    <t>sample_83_peak_1_(57-69-79).png</t>
  </si>
  <si>
    <t>峰1：起点(57,5311.0) 峰值(69,7108.0) 终点(79,5305.0)</t>
  </si>
  <si>
    <t>sample_83_peak_2_(124-138-146).png</t>
  </si>
  <si>
    <t>峰2：起点(124,4933.0) 峰值(138,5729.0) 终点(146,4813.0)</t>
  </si>
  <si>
    <t>sample_83_peak_3_(357-375-390).png</t>
  </si>
  <si>
    <t>峰3：起点(357,4894.0) 峰值(375,6941.0) 终点(390,4758.0)</t>
  </si>
  <si>
    <t>sample_84_overlap_1_(36-86).png</t>
  </si>
  <si>
    <t>重叠峰1：起点(36,4765.0) 终点(86,5361.0) 总面积=331077.0000 重叠峰数量：2</t>
  </si>
  <si>
    <t>sample_84_peak_1_(110-117-122).png</t>
  </si>
  <si>
    <t>峰1：起点(110,5109.0) 峰值(117,6254.0) 终点(122,5202.0)</t>
  </si>
  <si>
    <t>sample_84_peak_2_(126-142-150).png</t>
  </si>
  <si>
    <t>峰2：起点(126,5293.0) 峰值(142,6769.0) 终点(150,4946.0)</t>
  </si>
  <si>
    <t>sample_84_peak_3_(356-377-388).png</t>
  </si>
  <si>
    <t>峰3：起点(356,5078.0) 峰值(377,9456.0) 终点(388,4937.0)</t>
  </si>
  <si>
    <t>sample_85_overlap_1_(35-87).png</t>
  </si>
  <si>
    <t>重叠峰1：起点(35,4862.0) 终点(87,5903.0) 总面积=426640.0000 重叠峰数量：2</t>
  </si>
  <si>
    <t>sample_85_peak_1_(126-147-156).png</t>
  </si>
  <si>
    <t>峰1：起点(126,5590.0) 峰值(147,8520.0) 终点(156,5157.0)</t>
  </si>
  <si>
    <t>sample_85_peak_2_(352-375-387).png</t>
  </si>
  <si>
    <t>峰2：起点(352,5362.0) 峰值(375,13537.0) 终点(387,4927.0)</t>
  </si>
  <si>
    <t>sample_86_overlap_1_(37-91).png</t>
  </si>
  <si>
    <t>重叠峰1：起点(37,5019.0) 终点(91,6373.0) 总面积=576021.0000 重叠峰数量：2</t>
  </si>
  <si>
    <t>sample_86_peak_1_(129-152-162).png</t>
  </si>
  <si>
    <t>峰1：起点(129,5847.0) 峰值(152,11031.0) 终点(162,5536.0)</t>
  </si>
  <si>
    <t>sample_86_peak_2_(348-374-388).png</t>
  </si>
  <si>
    <t>峰2：起点(348,5486.0) 峰值(374,17629.0) 终点(388,4829.0)</t>
  </si>
  <si>
    <t>sample_87_overlap_1_(40-93).png</t>
  </si>
  <si>
    <t>重叠峰1：起点(40,5290.0) 终点(93,6953.0) 总面积=653182.0000 重叠峰数量：2</t>
  </si>
  <si>
    <t>sample_87_peak_1_(137-159-169).png</t>
  </si>
  <si>
    <t>峰1：起点(137,6371.0) 峰值(159,12933.0) 终点(169,5528.0)</t>
  </si>
  <si>
    <t>sample_87_peak_2_(346-373-385).png</t>
  </si>
  <si>
    <t>峰2：起点(346,5510.0) 峰值(373,18460.0) 终点(385,5293.0)</t>
  </si>
  <si>
    <t>sample_88_peak_1_(352-367-380).png</t>
  </si>
  <si>
    <t>峰1：起点(352,4466.0) 峰值(367,4639.0) 终点(380,4442.0)</t>
  </si>
  <si>
    <t>sample_89_overlap_1_(19-45).png</t>
  </si>
  <si>
    <t>重叠峰1：起点(19,4281.0) 终点(45,4757.0) 总面积=131454.0000 重叠峰数量：2</t>
  </si>
  <si>
    <t>sample_89_peak_1_(94-108-112).png</t>
  </si>
  <si>
    <t>峰1：起点(94,4682.0) 峰值(108,4789.0) 终点(112,4627.0)</t>
  </si>
  <si>
    <t>sample_89_peak_2_(353-368-379).png</t>
  </si>
  <si>
    <t>峰2：起点(353,4635.0) 峰值(368,4974.0) 终点(379,4703.0)</t>
  </si>
  <si>
    <t>sample_90_overlap_1_(17-45).png</t>
  </si>
  <si>
    <t>重叠峰1：起点(17,4635.0) 终点(45,5161.0) 总面积=166537.0000 重叠峰数量：2</t>
  </si>
  <si>
    <t>sample_90_peak_1_(92-106-113).png</t>
  </si>
  <si>
    <t>峰1：起点(92,5003.0) 峰值(106,5596.0) 终点(113,4932.0)</t>
  </si>
  <si>
    <t>sample_90_peak_2_(349-367-383).png</t>
  </si>
  <si>
    <t>峰2：起点(349,4878.0) 峰值(367,6188.0) 终点(383,4964.0)</t>
  </si>
  <si>
    <t>sample_91_peak_1_(15-33-46).png</t>
  </si>
  <si>
    <t>峰1：起点(15,4757.0) 峰值(33,9527.0) 终点(46,5468.0)</t>
  </si>
  <si>
    <t>sample_91_peak_2_(91-108-115).png</t>
  </si>
  <si>
    <t>峰2：起点(91,5217.0) 峰值(108,6508.0) 终点(115,5128.0)</t>
  </si>
  <si>
    <t>sample_91_peak_3_(350-367-380).png</t>
  </si>
  <si>
    <t>峰3：起点(350,5257.0) 峰值(367,8397.0) 终点(380,5261.0)</t>
  </si>
  <si>
    <t>sample_92_peak_1_(15-34-46).png</t>
  </si>
  <si>
    <t>峰1：起点(15,4888.0) 峰值(34,14126.0) 终点(46,6250.0)</t>
  </si>
  <si>
    <t>sample_93_peak_1_(91-114-125).png</t>
  </si>
  <si>
    <t>峰1：起点(91,6205.0) 峰值(114,10626.0) 终点(125,5842.0)</t>
  </si>
  <si>
    <t>sample_93_peak_2_(343-368-384).png</t>
  </si>
  <si>
    <t>峰2：起点(343,5991.0) 峰值(368,17652.0) 终点(384,5456.0)</t>
  </si>
  <si>
    <t>sample_94_peak_1_(17-38-52).png</t>
  </si>
  <si>
    <t>峰1：起点(17,5241.0) 峰值(38,21735.0) 终点(52,7172.0)</t>
  </si>
  <si>
    <t>sample_94_peak_2_(91-118-131).png</t>
  </si>
  <si>
    <t>峰2：起点(91,6135.0) 峰值(118,11283.0) 终点(131,5701.0)</t>
  </si>
  <si>
    <t>sample_94_peak_3_(344-369-388).png</t>
  </si>
  <si>
    <t>峰3：起点(344,6004.0) 峰值(369,18331.0) 终点(388,4944.0)</t>
  </si>
  <si>
    <t>sample_95_peak_1_(145-157-172).png</t>
  </si>
  <si>
    <t>峰1：起点(145,2485.0) 峰值(157,4195.0) 终点(172,3420.0)</t>
  </si>
  <si>
    <t>sample_95_overlap_1_(263-338).png</t>
  </si>
  <si>
    <t>重叠峰1：起点(263,3215.0) 终点(338,3466.0) 总面积=391596.0000 重叠峰数量：2</t>
  </si>
  <si>
    <t>sample_95_peak_2_(414-423-432).png</t>
  </si>
  <si>
    <t>峰2：起点(414,2745.0) 峰值(423,3722.0) 终点(432,2979.0)</t>
  </si>
  <si>
    <t>sample_96_peak_1_(141-154-164).png</t>
  </si>
  <si>
    <t>峰1：起点(141,2584.0) 峰值(154,5375.0) 终点(164,3737.0)</t>
  </si>
  <si>
    <t>sample_96_peak_2_(258-277-295).png</t>
  </si>
  <si>
    <t>峰2：起点(258,3613.0) 峰值(277,5277.0) 终点(295,4094.0)</t>
  </si>
  <si>
    <t>sample_96_peak_3_(297-316-336).png</t>
  </si>
  <si>
    <t>峰3：起点(297,4121.0) 峰值(316,8552.0) 终点(336,3623.0)</t>
  </si>
  <si>
    <t>sample_96_peak_4_(410-416-423).png</t>
  </si>
  <si>
    <t>峰4：起点(410,3096.0) 峰值(416,4527.0) 终点(423,3075.0)</t>
  </si>
  <si>
    <t>sample_97_peak_1_(139-152-166).png</t>
  </si>
  <si>
    <t>峰1：起点(139,2821.0) 峰值(152,5760.0) 终点(166,3926.0)</t>
  </si>
  <si>
    <t>sample_97_overlap_1_(252-295).png</t>
  </si>
  <si>
    <t>重叠峰1：起点(252,3461.0) 终点(295,4157.0) 总面积=204034.0000 重叠峰数量：2</t>
  </si>
  <si>
    <t>sample_97_peak_2_(297-313-331).png</t>
  </si>
  <si>
    <t>峰2：起点(297,4245.0) 峰值(313,9162.0) 终点(331,3913.0)</t>
  </si>
  <si>
    <t>sample_97_peak_3_(408-415-421).png</t>
  </si>
  <si>
    <t>峰3：起点(408,3041.0) 峰值(415,4892.0) 终点(421,3079.0)</t>
  </si>
  <si>
    <t>sample_98_peak_1_(139-148-157).png</t>
  </si>
  <si>
    <t>峰1：起点(139,3214.0) 峰值(148,5824.0) 终点(157,3972.0)</t>
  </si>
  <si>
    <t>sample_98_overlap_1_(248-288).png</t>
  </si>
  <si>
    <t>重叠峰1：起点(248,3745.0) 终点(288,4572.0) 总面积=214466.0000 重叠峰数量：2</t>
  </si>
  <si>
    <t>sample_98_peak_2_(289-305-319).png</t>
  </si>
  <si>
    <t>峰2：起点(289,4563.0) 峰值(305,11172.0) 终点(319,4155.0)</t>
  </si>
  <si>
    <t>sample_98_peak_3_(406-411-416).png</t>
  </si>
  <si>
    <t>峰3：起点(406,3285.0) 峰值(411,5370.0) 终点(416,2928.0)</t>
  </si>
  <si>
    <t>sample_99_peak_1_(136-149-156).png</t>
  </si>
  <si>
    <t>峰1：起点(136,2847.0) 峰值(149,5502.0) 终点(156,4041.0)</t>
  </si>
  <si>
    <t>sample_99_overlap_1_(247-285).png</t>
  </si>
  <si>
    <t>重叠峰1：起点(247,3865.0) 终点(285,5289.0) 总面积=224925.0000 重叠峰数量：2</t>
  </si>
  <si>
    <t>sample_99_peak_2_(286-296-309).png</t>
  </si>
  <si>
    <t>峰2：起点(286,5547.0) 峰值(296,12751.0) 终点(309,4186.0)</t>
  </si>
  <si>
    <t>sample_99_peak_3_(405-411-415).png</t>
  </si>
  <si>
    <t>峰3：起点(405,3050.0) 峰值(411,5072.0) 终点(415,3028.0)</t>
  </si>
  <si>
    <t>sample_100_peak_1_(134-146-150).png</t>
  </si>
  <si>
    <t>峰1：起点(134,3025.0) 峰值(146,7051.0) 终点(150,3681.0)</t>
  </si>
  <si>
    <t>sample_100_peak_2_(405-412-417).png</t>
  </si>
  <si>
    <t>峰2：起点(405,2979.0) 峰值(412,4984.0) 终点(417,2990.0)</t>
  </si>
  <si>
    <t>sample_101_peak_1_(139-149-166).png</t>
  </si>
  <si>
    <t>峰1：起点(139,2974.0) 峰值(149,4498.0) 终点(166,3580.0)</t>
  </si>
  <si>
    <t>sample_101_overlap_1_(250-296).png</t>
  </si>
  <si>
    <t>重叠峰1：起点(250,3910.0) 终点(296,4152.0) 总面积=327384.0000 重叠峰数量：2</t>
  </si>
  <si>
    <t>sample_101_peak_2_(406-412-417).png</t>
  </si>
  <si>
    <t>峰2：起点(406,2997.0) 峰值(412,4722.0) 终点(417,3023.0)</t>
  </si>
  <si>
    <t>sample_102_peak_1_(141-154-162).png</t>
  </si>
  <si>
    <t>峰1：起点(141,3320.0) 峰值(154,5619.0) 终点(162,3870.0)</t>
  </si>
  <si>
    <t>sample_102_overlap_1_(250-293).png</t>
  </si>
  <si>
    <t>重叠峰1：起点(250,4291.0) 终点(293,4285.0) 总面积=323651.0000 重叠峰数量：2</t>
  </si>
  <si>
    <t>sample_102_peak_2_(406-416-420).png</t>
  </si>
  <si>
    <t>峰2：起点(406,2833.0) 峰值(416,4254.0) 终点(420,2961.0)</t>
  </si>
  <si>
    <t>sample</t>
    <phoneticPr fontId="1" type="noConversion"/>
  </si>
  <si>
    <t>type(single=1,overlap=2)</t>
    <phoneticPr fontId="1" type="noConversion"/>
  </si>
  <si>
    <t>left_edge</t>
    <phoneticPr fontId="1" type="noConversion"/>
  </si>
  <si>
    <t>right_edge</t>
    <phoneticPr fontId="1" type="noConversion"/>
  </si>
  <si>
    <t>location</t>
    <phoneticPr fontId="1" type="noConversion"/>
  </si>
  <si>
    <t>height</t>
    <phoneticPr fontId="1" type="noConversion"/>
  </si>
  <si>
    <t>area</t>
    <phoneticPr fontId="1" type="noConversion"/>
  </si>
  <si>
    <t>overlap_num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</si>
</sst>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9"/>
  <sheetViews>
    <sheetView zoomScaleNormal="100" workbookViewId="0">
      <selection activeCell="J10" sqref="J10"/>
    </sheetView>
  </sheetViews>
  <sheetFormatPr defaultRowHeight="14" x14ac:dyDescent="0.25"/>
  <cols>
    <col min="17" max="17" width="9.269531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 t="s">
        <v>18</v>
      </c>
      <c r="C2">
        <v>1</v>
      </c>
      <c r="D2">
        <v>211</v>
      </c>
      <c r="E2">
        <v>123</v>
      </c>
      <c r="F2">
        <v>216</v>
      </c>
      <c r="G2">
        <v>1197</v>
      </c>
      <c r="H2">
        <v>229</v>
      </c>
      <c r="I2">
        <v>246</v>
      </c>
      <c r="P2" t="s">
        <v>19</v>
      </c>
      <c r="Q2">
        <v>20260120</v>
      </c>
      <c r="R2" t="s">
        <v>20</v>
      </c>
    </row>
    <row r="3" spans="1:18" x14ac:dyDescent="0.25">
      <c r="A3">
        <v>1</v>
      </c>
      <c r="B3" t="s">
        <v>21</v>
      </c>
      <c r="C3">
        <v>1</v>
      </c>
      <c r="J3">
        <v>397</v>
      </c>
      <c r="K3">
        <v>573</v>
      </c>
      <c r="L3">
        <v>433</v>
      </c>
      <c r="M3">
        <v>794</v>
      </c>
      <c r="N3">
        <v>3</v>
      </c>
      <c r="O3">
        <v>31598</v>
      </c>
      <c r="P3" t="s">
        <v>22</v>
      </c>
      <c r="Q3">
        <v>20260120</v>
      </c>
      <c r="R3" t="s">
        <v>23</v>
      </c>
    </row>
    <row r="4" spans="1:18" x14ac:dyDescent="0.25">
      <c r="A4">
        <v>1</v>
      </c>
      <c r="B4" t="s">
        <v>18</v>
      </c>
      <c r="C4">
        <v>2</v>
      </c>
      <c r="D4">
        <v>526</v>
      </c>
      <c r="E4">
        <v>862</v>
      </c>
      <c r="F4">
        <v>544</v>
      </c>
      <c r="G4">
        <v>1364</v>
      </c>
      <c r="H4">
        <v>560</v>
      </c>
      <c r="I4">
        <v>947</v>
      </c>
      <c r="P4" t="s">
        <v>24</v>
      </c>
      <c r="Q4">
        <v>20260120</v>
      </c>
      <c r="R4" t="s">
        <v>25</v>
      </c>
    </row>
    <row r="5" spans="1:18" x14ac:dyDescent="0.25">
      <c r="A5">
        <v>2</v>
      </c>
      <c r="B5" t="s">
        <v>18</v>
      </c>
      <c r="C5">
        <v>1</v>
      </c>
      <c r="D5">
        <v>210</v>
      </c>
      <c r="E5">
        <v>116</v>
      </c>
      <c r="F5">
        <v>215</v>
      </c>
      <c r="G5">
        <v>1857</v>
      </c>
      <c r="H5">
        <v>228</v>
      </c>
      <c r="I5">
        <v>244</v>
      </c>
      <c r="P5" t="s">
        <v>26</v>
      </c>
      <c r="Q5">
        <v>20260120</v>
      </c>
      <c r="R5" t="s">
        <v>27</v>
      </c>
    </row>
    <row r="6" spans="1:18" x14ac:dyDescent="0.25">
      <c r="A6">
        <v>2</v>
      </c>
      <c r="B6" t="s">
        <v>21</v>
      </c>
      <c r="C6">
        <v>1</v>
      </c>
      <c r="J6">
        <v>399</v>
      </c>
      <c r="K6">
        <v>515</v>
      </c>
      <c r="L6">
        <v>422</v>
      </c>
      <c r="M6">
        <v>991.00000000000011</v>
      </c>
      <c r="N6">
        <v>2</v>
      </c>
      <c r="O6">
        <v>21586</v>
      </c>
      <c r="P6" t="s">
        <v>28</v>
      </c>
      <c r="Q6">
        <v>20260120</v>
      </c>
      <c r="R6" t="s">
        <v>29</v>
      </c>
    </row>
    <row r="7" spans="1:18" x14ac:dyDescent="0.25">
      <c r="A7">
        <v>2</v>
      </c>
      <c r="B7" t="s">
        <v>18</v>
      </c>
      <c r="C7">
        <v>2</v>
      </c>
      <c r="D7">
        <v>524</v>
      </c>
      <c r="E7">
        <v>974</v>
      </c>
      <c r="F7">
        <v>543</v>
      </c>
      <c r="G7">
        <v>1902</v>
      </c>
      <c r="H7">
        <v>565</v>
      </c>
      <c r="I7">
        <v>998</v>
      </c>
      <c r="P7" t="s">
        <v>30</v>
      </c>
      <c r="Q7">
        <v>20260120</v>
      </c>
      <c r="R7" t="s">
        <v>31</v>
      </c>
    </row>
    <row r="8" spans="1:18" x14ac:dyDescent="0.25">
      <c r="A8">
        <v>3</v>
      </c>
      <c r="B8" t="s">
        <v>21</v>
      </c>
      <c r="C8">
        <v>1</v>
      </c>
      <c r="J8">
        <v>202</v>
      </c>
      <c r="K8">
        <v>151</v>
      </c>
      <c r="L8">
        <v>236</v>
      </c>
      <c r="M8">
        <v>387</v>
      </c>
      <c r="N8">
        <v>4</v>
      </c>
      <c r="O8">
        <v>25567</v>
      </c>
      <c r="P8" t="s">
        <v>32</v>
      </c>
      <c r="Q8">
        <v>20260120</v>
      </c>
      <c r="R8" t="s">
        <v>33</v>
      </c>
    </row>
    <row r="9" spans="1:18" x14ac:dyDescent="0.25">
      <c r="A9">
        <v>3</v>
      </c>
      <c r="B9" t="s">
        <v>21</v>
      </c>
      <c r="C9">
        <v>2</v>
      </c>
      <c r="J9">
        <v>402</v>
      </c>
      <c r="K9">
        <v>541</v>
      </c>
      <c r="L9">
        <v>434</v>
      </c>
      <c r="M9">
        <v>1094</v>
      </c>
      <c r="N9">
        <v>2</v>
      </c>
      <c r="O9">
        <v>39468</v>
      </c>
      <c r="P9" t="s">
        <v>34</v>
      </c>
      <c r="Q9">
        <v>20260120</v>
      </c>
      <c r="R9" t="s">
        <v>35</v>
      </c>
    </row>
    <row r="10" spans="1:18" x14ac:dyDescent="0.25">
      <c r="A10">
        <v>3</v>
      </c>
      <c r="B10" t="s">
        <v>18</v>
      </c>
      <c r="C10">
        <v>1</v>
      </c>
      <c r="D10">
        <v>525</v>
      </c>
      <c r="E10">
        <v>970.00000000000011</v>
      </c>
      <c r="F10">
        <v>542</v>
      </c>
      <c r="G10">
        <v>1465</v>
      </c>
      <c r="H10">
        <v>570</v>
      </c>
      <c r="I10">
        <v>951</v>
      </c>
      <c r="P10" t="s">
        <v>36</v>
      </c>
      <c r="Q10">
        <v>20260120</v>
      </c>
      <c r="R10" t="s">
        <v>37</v>
      </c>
    </row>
    <row r="11" spans="1:18" x14ac:dyDescent="0.25">
      <c r="A11">
        <v>4</v>
      </c>
      <c r="B11" t="s">
        <v>18</v>
      </c>
      <c r="C11">
        <v>1</v>
      </c>
      <c r="D11">
        <v>210</v>
      </c>
      <c r="E11">
        <v>111</v>
      </c>
      <c r="F11">
        <v>215</v>
      </c>
      <c r="G11">
        <v>1187</v>
      </c>
      <c r="H11">
        <v>225</v>
      </c>
      <c r="I11">
        <v>248</v>
      </c>
      <c r="P11" t="s">
        <v>38</v>
      </c>
      <c r="Q11">
        <v>20260120</v>
      </c>
      <c r="R11" t="s">
        <v>39</v>
      </c>
    </row>
    <row r="12" spans="1:18" x14ac:dyDescent="0.25">
      <c r="A12">
        <v>4</v>
      </c>
      <c r="B12" t="s">
        <v>18</v>
      </c>
      <c r="C12">
        <v>2</v>
      </c>
      <c r="D12">
        <v>320</v>
      </c>
      <c r="E12">
        <v>284</v>
      </c>
      <c r="F12">
        <v>323</v>
      </c>
      <c r="G12">
        <v>547</v>
      </c>
      <c r="H12">
        <v>328</v>
      </c>
      <c r="I12">
        <v>297</v>
      </c>
      <c r="P12" t="s">
        <v>40</v>
      </c>
      <c r="Q12">
        <v>20260120</v>
      </c>
      <c r="R12" t="s">
        <v>41</v>
      </c>
    </row>
    <row r="13" spans="1:18" x14ac:dyDescent="0.25">
      <c r="A13">
        <v>4</v>
      </c>
      <c r="B13" t="s">
        <v>18</v>
      </c>
      <c r="C13">
        <v>3</v>
      </c>
      <c r="D13">
        <v>525</v>
      </c>
      <c r="E13">
        <v>989</v>
      </c>
      <c r="F13">
        <v>548</v>
      </c>
      <c r="G13">
        <v>2626</v>
      </c>
      <c r="H13">
        <v>569</v>
      </c>
      <c r="I13">
        <v>936</v>
      </c>
      <c r="P13" t="s">
        <v>42</v>
      </c>
      <c r="Q13">
        <v>20260120</v>
      </c>
      <c r="R13" t="s">
        <v>43</v>
      </c>
    </row>
    <row r="14" spans="1:18" x14ac:dyDescent="0.25">
      <c r="A14">
        <v>5</v>
      </c>
      <c r="B14" t="s">
        <v>18</v>
      </c>
      <c r="C14">
        <v>1</v>
      </c>
      <c r="D14">
        <v>210</v>
      </c>
      <c r="E14">
        <v>222</v>
      </c>
      <c r="F14">
        <v>214</v>
      </c>
      <c r="G14">
        <v>2430</v>
      </c>
      <c r="H14">
        <v>224</v>
      </c>
      <c r="I14">
        <v>325</v>
      </c>
      <c r="P14" t="s">
        <v>44</v>
      </c>
      <c r="Q14">
        <v>20260120</v>
      </c>
      <c r="R14" t="s">
        <v>45</v>
      </c>
    </row>
    <row r="15" spans="1:18" x14ac:dyDescent="0.25">
      <c r="A15">
        <v>5</v>
      </c>
      <c r="B15" t="s">
        <v>18</v>
      </c>
      <c r="C15">
        <v>2</v>
      </c>
      <c r="D15">
        <v>386</v>
      </c>
      <c r="E15">
        <v>692</v>
      </c>
      <c r="F15">
        <v>400</v>
      </c>
      <c r="G15">
        <v>1309</v>
      </c>
      <c r="H15">
        <v>405</v>
      </c>
      <c r="I15">
        <v>890.99999999999989</v>
      </c>
      <c r="P15" t="s">
        <v>46</v>
      </c>
      <c r="Q15">
        <v>20260120</v>
      </c>
      <c r="R15" t="s">
        <v>47</v>
      </c>
    </row>
    <row r="16" spans="1:18" x14ac:dyDescent="0.25">
      <c r="A16">
        <v>5</v>
      </c>
      <c r="B16" t="s">
        <v>18</v>
      </c>
      <c r="C16">
        <v>3</v>
      </c>
      <c r="D16">
        <v>405</v>
      </c>
      <c r="E16">
        <v>890.99999999999989</v>
      </c>
      <c r="F16">
        <v>415</v>
      </c>
      <c r="G16">
        <v>5376</v>
      </c>
      <c r="H16">
        <v>424</v>
      </c>
      <c r="I16">
        <v>1362</v>
      </c>
      <c r="P16" t="s">
        <v>48</v>
      </c>
      <c r="Q16">
        <v>20260120</v>
      </c>
      <c r="R16" t="s">
        <v>49</v>
      </c>
    </row>
    <row r="17" spans="1:18" x14ac:dyDescent="0.25">
      <c r="A17">
        <v>5</v>
      </c>
      <c r="B17" t="s">
        <v>18</v>
      </c>
      <c r="C17">
        <v>4</v>
      </c>
      <c r="D17">
        <v>521</v>
      </c>
      <c r="E17">
        <v>1246</v>
      </c>
      <c r="F17">
        <v>543</v>
      </c>
      <c r="G17">
        <v>3251</v>
      </c>
      <c r="H17">
        <v>566</v>
      </c>
      <c r="I17">
        <v>1103</v>
      </c>
      <c r="P17" t="s">
        <v>50</v>
      </c>
      <c r="Q17">
        <v>20260120</v>
      </c>
      <c r="R17" t="s">
        <v>51</v>
      </c>
    </row>
    <row r="18" spans="1:18" x14ac:dyDescent="0.25">
      <c r="A18">
        <v>6</v>
      </c>
      <c r="B18" t="s">
        <v>18</v>
      </c>
      <c r="C18">
        <v>1</v>
      </c>
      <c r="D18">
        <v>212</v>
      </c>
      <c r="E18">
        <v>514</v>
      </c>
      <c r="F18">
        <v>214</v>
      </c>
      <c r="G18">
        <v>2430</v>
      </c>
      <c r="H18">
        <v>224</v>
      </c>
      <c r="I18">
        <v>325</v>
      </c>
      <c r="P18" t="s">
        <v>52</v>
      </c>
      <c r="Q18">
        <v>20260120</v>
      </c>
      <c r="R18" t="s">
        <v>53</v>
      </c>
    </row>
    <row r="19" spans="1:18" x14ac:dyDescent="0.25">
      <c r="A19">
        <v>6</v>
      </c>
      <c r="B19" t="s">
        <v>18</v>
      </c>
      <c r="C19">
        <v>2</v>
      </c>
      <c r="D19">
        <v>386</v>
      </c>
      <c r="E19">
        <v>692</v>
      </c>
      <c r="F19">
        <v>401</v>
      </c>
      <c r="G19">
        <v>1170</v>
      </c>
      <c r="H19">
        <v>404</v>
      </c>
      <c r="I19">
        <v>910</v>
      </c>
      <c r="P19" t="s">
        <v>54</v>
      </c>
      <c r="Q19">
        <v>20260120</v>
      </c>
      <c r="R19" t="s">
        <v>55</v>
      </c>
    </row>
    <row r="20" spans="1:18" x14ac:dyDescent="0.25">
      <c r="A20">
        <v>6</v>
      </c>
      <c r="B20" t="s">
        <v>18</v>
      </c>
      <c r="C20">
        <v>3</v>
      </c>
      <c r="D20">
        <v>407</v>
      </c>
      <c r="E20">
        <v>954</v>
      </c>
      <c r="F20">
        <v>414</v>
      </c>
      <c r="G20">
        <v>6518</v>
      </c>
      <c r="H20">
        <v>424</v>
      </c>
      <c r="I20">
        <v>1362</v>
      </c>
      <c r="P20" t="s">
        <v>56</v>
      </c>
      <c r="Q20">
        <v>20260120</v>
      </c>
      <c r="R20" t="s">
        <v>57</v>
      </c>
    </row>
    <row r="21" spans="1:18" x14ac:dyDescent="0.25">
      <c r="A21">
        <v>6</v>
      </c>
      <c r="B21" t="s">
        <v>18</v>
      </c>
      <c r="C21">
        <v>4</v>
      </c>
      <c r="D21">
        <v>521</v>
      </c>
      <c r="E21">
        <v>1246</v>
      </c>
      <c r="F21">
        <v>544</v>
      </c>
      <c r="G21">
        <v>3235</v>
      </c>
      <c r="H21">
        <v>564</v>
      </c>
      <c r="I21">
        <v>1144</v>
      </c>
      <c r="P21" t="s">
        <v>58</v>
      </c>
      <c r="Q21">
        <v>20260120</v>
      </c>
      <c r="R21" t="s">
        <v>59</v>
      </c>
    </row>
    <row r="22" spans="1:18" x14ac:dyDescent="0.25">
      <c r="A22">
        <v>7</v>
      </c>
      <c r="B22" t="s">
        <v>18</v>
      </c>
      <c r="C22">
        <v>1</v>
      </c>
      <c r="D22">
        <v>167</v>
      </c>
      <c r="E22">
        <v>3186</v>
      </c>
      <c r="F22">
        <v>183</v>
      </c>
      <c r="G22">
        <v>17252</v>
      </c>
      <c r="H22">
        <v>190</v>
      </c>
      <c r="I22">
        <v>3504</v>
      </c>
      <c r="P22" t="s">
        <v>60</v>
      </c>
      <c r="Q22">
        <v>20260120</v>
      </c>
      <c r="R22" t="s">
        <v>61</v>
      </c>
    </row>
    <row r="23" spans="1:18" x14ac:dyDescent="0.25">
      <c r="A23">
        <v>8</v>
      </c>
      <c r="B23" t="s">
        <v>18</v>
      </c>
      <c r="C23">
        <v>1</v>
      </c>
      <c r="D23">
        <v>164</v>
      </c>
      <c r="E23">
        <v>3297</v>
      </c>
      <c r="F23">
        <v>182</v>
      </c>
      <c r="G23">
        <v>15111</v>
      </c>
      <c r="H23">
        <v>186</v>
      </c>
      <c r="I23">
        <v>3811</v>
      </c>
      <c r="P23" t="s">
        <v>62</v>
      </c>
      <c r="Q23">
        <v>20260120</v>
      </c>
      <c r="R23" t="s">
        <v>63</v>
      </c>
    </row>
    <row r="24" spans="1:18" x14ac:dyDescent="0.25">
      <c r="A24">
        <v>9</v>
      </c>
      <c r="B24" t="s">
        <v>18</v>
      </c>
      <c r="C24">
        <v>1</v>
      </c>
      <c r="D24">
        <v>167</v>
      </c>
      <c r="E24">
        <v>3520</v>
      </c>
      <c r="F24">
        <v>180</v>
      </c>
      <c r="G24">
        <v>12021</v>
      </c>
      <c r="H24">
        <v>184</v>
      </c>
      <c r="I24">
        <v>3913</v>
      </c>
      <c r="P24" t="s">
        <v>64</v>
      </c>
      <c r="Q24">
        <v>20260120</v>
      </c>
      <c r="R24" t="s">
        <v>65</v>
      </c>
    </row>
    <row r="25" spans="1:18" x14ac:dyDescent="0.25">
      <c r="A25">
        <v>10</v>
      </c>
      <c r="B25" t="s">
        <v>18</v>
      </c>
      <c r="C25">
        <v>1</v>
      </c>
      <c r="D25">
        <v>165</v>
      </c>
      <c r="E25">
        <v>2756</v>
      </c>
      <c r="F25">
        <v>178</v>
      </c>
      <c r="G25">
        <v>8359</v>
      </c>
      <c r="H25">
        <v>182</v>
      </c>
      <c r="I25">
        <v>3999</v>
      </c>
      <c r="P25" t="s">
        <v>66</v>
      </c>
      <c r="Q25">
        <v>20260120</v>
      </c>
      <c r="R25" t="s">
        <v>67</v>
      </c>
    </row>
    <row r="26" spans="1:18" x14ac:dyDescent="0.25">
      <c r="A26">
        <v>11</v>
      </c>
      <c r="B26" t="s">
        <v>18</v>
      </c>
      <c r="C26">
        <v>1</v>
      </c>
      <c r="D26">
        <v>168</v>
      </c>
      <c r="E26">
        <v>2836</v>
      </c>
      <c r="F26">
        <v>178</v>
      </c>
      <c r="G26">
        <v>5480</v>
      </c>
      <c r="H26">
        <v>182</v>
      </c>
      <c r="I26">
        <v>3761</v>
      </c>
      <c r="P26" t="s">
        <v>68</v>
      </c>
      <c r="Q26">
        <v>20260120</v>
      </c>
      <c r="R26" t="s">
        <v>69</v>
      </c>
    </row>
    <row r="27" spans="1:18" x14ac:dyDescent="0.25">
      <c r="A27">
        <v>12</v>
      </c>
      <c r="B27" t="s">
        <v>18</v>
      </c>
      <c r="C27">
        <v>1</v>
      </c>
      <c r="D27">
        <v>167</v>
      </c>
      <c r="E27">
        <v>2685</v>
      </c>
      <c r="F27">
        <v>178</v>
      </c>
      <c r="G27">
        <v>5480</v>
      </c>
      <c r="H27">
        <v>183</v>
      </c>
      <c r="I27">
        <v>3676</v>
      </c>
      <c r="P27" t="s">
        <v>70</v>
      </c>
      <c r="Q27">
        <v>20260120</v>
      </c>
      <c r="R27" t="s">
        <v>71</v>
      </c>
    </row>
    <row r="28" spans="1:18" x14ac:dyDescent="0.25">
      <c r="A28">
        <v>13</v>
      </c>
      <c r="B28" t="s">
        <v>18</v>
      </c>
      <c r="C28">
        <v>1</v>
      </c>
      <c r="D28">
        <v>256</v>
      </c>
      <c r="E28">
        <v>1715</v>
      </c>
      <c r="F28">
        <v>268</v>
      </c>
      <c r="G28">
        <v>3520</v>
      </c>
      <c r="H28">
        <v>287</v>
      </c>
      <c r="I28">
        <v>1667</v>
      </c>
      <c r="P28" t="s">
        <v>72</v>
      </c>
      <c r="Q28">
        <v>20260120</v>
      </c>
      <c r="R28" t="s">
        <v>73</v>
      </c>
    </row>
    <row r="29" spans="1:18" x14ac:dyDescent="0.25">
      <c r="A29">
        <v>14</v>
      </c>
      <c r="B29" t="s">
        <v>18</v>
      </c>
      <c r="C29">
        <v>1</v>
      </c>
      <c r="D29">
        <v>263</v>
      </c>
      <c r="E29">
        <v>1939</v>
      </c>
      <c r="F29">
        <v>275</v>
      </c>
      <c r="G29">
        <v>3236</v>
      </c>
      <c r="H29">
        <v>294</v>
      </c>
      <c r="I29">
        <v>2045</v>
      </c>
      <c r="P29" t="s">
        <v>74</v>
      </c>
      <c r="Q29">
        <v>20260120</v>
      </c>
      <c r="R29" t="s">
        <v>75</v>
      </c>
    </row>
    <row r="30" spans="1:18" x14ac:dyDescent="0.25">
      <c r="A30">
        <v>15</v>
      </c>
      <c r="B30" t="s">
        <v>18</v>
      </c>
      <c r="C30">
        <v>1</v>
      </c>
      <c r="D30">
        <v>261</v>
      </c>
      <c r="E30">
        <v>1983</v>
      </c>
      <c r="F30">
        <v>276</v>
      </c>
      <c r="G30">
        <v>3263</v>
      </c>
      <c r="H30">
        <v>297</v>
      </c>
      <c r="I30">
        <v>2217</v>
      </c>
      <c r="P30" t="s">
        <v>76</v>
      </c>
      <c r="Q30">
        <v>20260120</v>
      </c>
      <c r="R30" t="s">
        <v>77</v>
      </c>
    </row>
    <row r="31" spans="1:18" x14ac:dyDescent="0.25">
      <c r="A31">
        <v>16</v>
      </c>
      <c r="B31" t="s">
        <v>18</v>
      </c>
      <c r="C31">
        <v>1</v>
      </c>
      <c r="D31">
        <v>266</v>
      </c>
      <c r="E31">
        <v>2276</v>
      </c>
      <c r="F31">
        <v>283</v>
      </c>
      <c r="G31">
        <v>3252</v>
      </c>
      <c r="H31">
        <v>299</v>
      </c>
      <c r="I31">
        <v>2525</v>
      </c>
      <c r="P31" t="s">
        <v>78</v>
      </c>
      <c r="Q31">
        <v>20260120</v>
      </c>
      <c r="R31" t="s">
        <v>79</v>
      </c>
    </row>
    <row r="32" spans="1:18" x14ac:dyDescent="0.25">
      <c r="A32">
        <v>17</v>
      </c>
      <c r="B32" t="s">
        <v>21</v>
      </c>
      <c r="C32">
        <v>1</v>
      </c>
      <c r="J32">
        <v>268</v>
      </c>
      <c r="K32">
        <v>2174</v>
      </c>
      <c r="L32">
        <v>401</v>
      </c>
      <c r="M32">
        <v>2916</v>
      </c>
      <c r="N32">
        <v>2</v>
      </c>
      <c r="O32">
        <v>408454</v>
      </c>
      <c r="P32" t="s">
        <v>80</v>
      </c>
      <c r="Q32">
        <v>20260120</v>
      </c>
      <c r="R32" t="s">
        <v>81</v>
      </c>
    </row>
    <row r="33" spans="1:18" x14ac:dyDescent="0.25">
      <c r="A33">
        <v>18</v>
      </c>
      <c r="B33" t="s">
        <v>21</v>
      </c>
      <c r="C33">
        <v>1</v>
      </c>
      <c r="J33">
        <v>269</v>
      </c>
      <c r="K33">
        <v>1809</v>
      </c>
      <c r="L33">
        <v>372</v>
      </c>
      <c r="M33">
        <v>2737</v>
      </c>
      <c r="N33">
        <v>2</v>
      </c>
      <c r="O33">
        <v>268892</v>
      </c>
      <c r="P33" t="s">
        <v>82</v>
      </c>
      <c r="Q33">
        <v>20260120</v>
      </c>
      <c r="R33" t="s">
        <v>83</v>
      </c>
    </row>
    <row r="34" spans="1:18" x14ac:dyDescent="0.25">
      <c r="A34">
        <v>19</v>
      </c>
      <c r="B34" t="s">
        <v>21</v>
      </c>
      <c r="C34">
        <v>1</v>
      </c>
      <c r="J34">
        <v>146</v>
      </c>
      <c r="K34">
        <v>2437</v>
      </c>
      <c r="L34">
        <v>176</v>
      </c>
      <c r="M34">
        <v>3052</v>
      </c>
      <c r="N34">
        <v>3</v>
      </c>
      <c r="O34">
        <v>98109</v>
      </c>
      <c r="P34" t="s">
        <v>84</v>
      </c>
      <c r="Q34">
        <v>20260120</v>
      </c>
      <c r="R34" t="s">
        <v>85</v>
      </c>
    </row>
    <row r="35" spans="1:18" x14ac:dyDescent="0.25">
      <c r="A35">
        <v>19</v>
      </c>
      <c r="B35" t="s">
        <v>21</v>
      </c>
      <c r="C35">
        <v>2</v>
      </c>
      <c r="J35">
        <v>177</v>
      </c>
      <c r="K35">
        <v>3079</v>
      </c>
      <c r="L35">
        <v>199</v>
      </c>
      <c r="M35">
        <v>2869</v>
      </c>
      <c r="N35">
        <v>2</v>
      </c>
      <c r="O35">
        <v>86224</v>
      </c>
      <c r="P35" t="s">
        <v>86</v>
      </c>
      <c r="Q35">
        <v>20260120</v>
      </c>
      <c r="R35" t="s">
        <v>87</v>
      </c>
    </row>
    <row r="36" spans="1:18" x14ac:dyDescent="0.25">
      <c r="A36">
        <v>19</v>
      </c>
      <c r="B36" t="s">
        <v>21</v>
      </c>
      <c r="C36">
        <v>3</v>
      </c>
      <c r="J36">
        <v>199</v>
      </c>
      <c r="K36">
        <v>2869</v>
      </c>
      <c r="L36">
        <v>229</v>
      </c>
      <c r="M36">
        <v>2883</v>
      </c>
      <c r="N36">
        <v>2</v>
      </c>
      <c r="O36">
        <v>100217</v>
      </c>
      <c r="P36" t="s">
        <v>88</v>
      </c>
      <c r="Q36">
        <v>20260120</v>
      </c>
      <c r="R36" t="s">
        <v>89</v>
      </c>
    </row>
    <row r="37" spans="1:18" x14ac:dyDescent="0.25">
      <c r="A37">
        <v>19</v>
      </c>
      <c r="B37" t="s">
        <v>18</v>
      </c>
      <c r="C37">
        <v>1</v>
      </c>
      <c r="D37">
        <v>229</v>
      </c>
      <c r="E37">
        <v>2883</v>
      </c>
      <c r="F37">
        <v>240</v>
      </c>
      <c r="G37">
        <v>5031</v>
      </c>
      <c r="H37">
        <v>248</v>
      </c>
      <c r="I37">
        <v>2947</v>
      </c>
      <c r="P37" t="s">
        <v>90</v>
      </c>
      <c r="Q37">
        <v>20260120</v>
      </c>
      <c r="R37" t="s">
        <v>91</v>
      </c>
    </row>
    <row r="38" spans="1:18" x14ac:dyDescent="0.25">
      <c r="A38">
        <v>19</v>
      </c>
      <c r="B38" t="s">
        <v>18</v>
      </c>
      <c r="C38">
        <v>2</v>
      </c>
      <c r="D38">
        <v>248</v>
      </c>
      <c r="E38">
        <v>2947</v>
      </c>
      <c r="F38">
        <v>263</v>
      </c>
      <c r="G38">
        <v>5100</v>
      </c>
      <c r="H38">
        <v>269</v>
      </c>
      <c r="I38">
        <v>2793</v>
      </c>
      <c r="P38" t="s">
        <v>92</v>
      </c>
      <c r="Q38">
        <v>20260120</v>
      </c>
      <c r="R38" t="s">
        <v>93</v>
      </c>
    </row>
    <row r="39" spans="1:18" x14ac:dyDescent="0.25">
      <c r="A39">
        <v>19</v>
      </c>
      <c r="B39" t="s">
        <v>18</v>
      </c>
      <c r="C39">
        <v>3</v>
      </c>
      <c r="D39">
        <v>352</v>
      </c>
      <c r="E39">
        <v>2714</v>
      </c>
      <c r="F39">
        <v>371</v>
      </c>
      <c r="G39">
        <v>4439</v>
      </c>
      <c r="H39">
        <v>382</v>
      </c>
      <c r="I39">
        <v>2649</v>
      </c>
      <c r="P39" t="s">
        <v>94</v>
      </c>
      <c r="Q39">
        <v>20260120</v>
      </c>
      <c r="R39" t="s">
        <v>95</v>
      </c>
    </row>
    <row r="40" spans="1:18" x14ac:dyDescent="0.25">
      <c r="A40">
        <v>19</v>
      </c>
      <c r="B40" t="s">
        <v>21</v>
      </c>
      <c r="C40">
        <v>4</v>
      </c>
      <c r="J40">
        <v>418</v>
      </c>
      <c r="K40">
        <v>2925</v>
      </c>
      <c r="L40">
        <v>468</v>
      </c>
      <c r="M40">
        <v>3613</v>
      </c>
      <c r="N40">
        <v>4</v>
      </c>
      <c r="O40">
        <v>356964</v>
      </c>
      <c r="P40" t="s">
        <v>96</v>
      </c>
      <c r="Q40">
        <v>20260120</v>
      </c>
      <c r="R40" t="s">
        <v>97</v>
      </c>
    </row>
    <row r="41" spans="1:18" x14ac:dyDescent="0.25">
      <c r="A41">
        <v>20</v>
      </c>
      <c r="B41" t="s">
        <v>21</v>
      </c>
      <c r="C41">
        <v>1</v>
      </c>
      <c r="J41">
        <v>181</v>
      </c>
      <c r="K41">
        <v>2962</v>
      </c>
      <c r="L41">
        <v>241</v>
      </c>
      <c r="M41">
        <v>2759</v>
      </c>
      <c r="N41">
        <v>2</v>
      </c>
      <c r="O41">
        <v>306890</v>
      </c>
      <c r="P41" t="s">
        <v>98</v>
      </c>
      <c r="Q41">
        <v>20260120</v>
      </c>
      <c r="R41" t="s">
        <v>99</v>
      </c>
    </row>
    <row r="42" spans="1:18" x14ac:dyDescent="0.25">
      <c r="A42">
        <v>21</v>
      </c>
      <c r="B42" t="s">
        <v>18</v>
      </c>
      <c r="C42">
        <v>1</v>
      </c>
      <c r="D42">
        <v>426</v>
      </c>
      <c r="E42">
        <v>3185</v>
      </c>
      <c r="F42">
        <v>433</v>
      </c>
      <c r="G42">
        <v>22019</v>
      </c>
      <c r="H42">
        <v>444</v>
      </c>
      <c r="I42">
        <v>4073</v>
      </c>
      <c r="P42" t="s">
        <v>100</v>
      </c>
      <c r="Q42">
        <v>20260120</v>
      </c>
      <c r="R42" t="s">
        <v>101</v>
      </c>
    </row>
    <row r="43" spans="1:18" x14ac:dyDescent="0.25">
      <c r="A43">
        <v>21</v>
      </c>
      <c r="B43" t="s">
        <v>18</v>
      </c>
      <c r="C43">
        <v>2</v>
      </c>
      <c r="D43">
        <v>448</v>
      </c>
      <c r="E43">
        <v>3878</v>
      </c>
      <c r="F43">
        <v>472</v>
      </c>
      <c r="G43">
        <v>5071</v>
      </c>
      <c r="H43">
        <v>499</v>
      </c>
      <c r="I43">
        <v>1292</v>
      </c>
      <c r="P43" t="s">
        <v>102</v>
      </c>
      <c r="Q43">
        <v>20260120</v>
      </c>
      <c r="R43" t="s">
        <v>103</v>
      </c>
    </row>
    <row r="44" spans="1:18" x14ac:dyDescent="0.25">
      <c r="A44">
        <v>22</v>
      </c>
      <c r="B44" t="s">
        <v>18</v>
      </c>
      <c r="C44">
        <v>1</v>
      </c>
      <c r="D44">
        <v>194</v>
      </c>
      <c r="E44">
        <v>2909</v>
      </c>
      <c r="F44">
        <v>210</v>
      </c>
      <c r="G44">
        <v>6567</v>
      </c>
      <c r="H44">
        <v>219</v>
      </c>
      <c r="I44">
        <v>2836</v>
      </c>
      <c r="P44" t="s">
        <v>104</v>
      </c>
      <c r="Q44">
        <v>20260120</v>
      </c>
      <c r="R44" t="s">
        <v>105</v>
      </c>
    </row>
    <row r="45" spans="1:18" x14ac:dyDescent="0.25">
      <c r="A45">
        <v>22</v>
      </c>
      <c r="B45" t="s">
        <v>18</v>
      </c>
      <c r="C45">
        <v>2</v>
      </c>
      <c r="D45">
        <v>426</v>
      </c>
      <c r="E45">
        <v>3098</v>
      </c>
      <c r="F45">
        <v>431</v>
      </c>
      <c r="G45">
        <v>22098</v>
      </c>
      <c r="H45">
        <v>440</v>
      </c>
      <c r="I45">
        <v>4012</v>
      </c>
      <c r="P45" t="s">
        <v>106</v>
      </c>
      <c r="Q45">
        <v>20260120</v>
      </c>
      <c r="R45" t="s">
        <v>107</v>
      </c>
    </row>
    <row r="46" spans="1:18" x14ac:dyDescent="0.25">
      <c r="A46">
        <v>22</v>
      </c>
      <c r="B46" t="s">
        <v>18</v>
      </c>
      <c r="C46">
        <v>3</v>
      </c>
      <c r="D46">
        <v>442</v>
      </c>
      <c r="E46">
        <v>3756</v>
      </c>
      <c r="F46">
        <v>474</v>
      </c>
      <c r="G46">
        <v>4907</v>
      </c>
      <c r="H46">
        <v>499</v>
      </c>
      <c r="I46">
        <v>1264</v>
      </c>
      <c r="P46" t="s">
        <v>108</v>
      </c>
      <c r="Q46">
        <v>20260120</v>
      </c>
      <c r="R46" t="s">
        <v>109</v>
      </c>
    </row>
    <row r="47" spans="1:18" x14ac:dyDescent="0.25">
      <c r="A47">
        <v>23</v>
      </c>
      <c r="B47" t="s">
        <v>18</v>
      </c>
      <c r="C47">
        <v>1</v>
      </c>
      <c r="D47">
        <v>194</v>
      </c>
      <c r="E47">
        <v>3069</v>
      </c>
      <c r="F47">
        <v>208</v>
      </c>
      <c r="G47">
        <v>5822</v>
      </c>
      <c r="H47">
        <v>216</v>
      </c>
      <c r="I47">
        <v>3000</v>
      </c>
      <c r="P47" t="s">
        <v>110</v>
      </c>
      <c r="Q47">
        <v>20260120</v>
      </c>
      <c r="R47" t="s">
        <v>111</v>
      </c>
    </row>
    <row r="48" spans="1:18" x14ac:dyDescent="0.25">
      <c r="A48">
        <v>23</v>
      </c>
      <c r="B48" t="s">
        <v>18</v>
      </c>
      <c r="C48">
        <v>2</v>
      </c>
      <c r="D48">
        <v>424</v>
      </c>
      <c r="E48">
        <v>3630</v>
      </c>
      <c r="F48">
        <v>430</v>
      </c>
      <c r="G48">
        <v>23328</v>
      </c>
      <c r="H48">
        <v>439</v>
      </c>
      <c r="I48">
        <v>4433</v>
      </c>
      <c r="P48" t="s">
        <v>112</v>
      </c>
      <c r="Q48">
        <v>20260120</v>
      </c>
      <c r="R48" t="s">
        <v>113</v>
      </c>
    </row>
    <row r="49" spans="1:18" x14ac:dyDescent="0.25">
      <c r="A49">
        <v>24</v>
      </c>
      <c r="B49" t="s">
        <v>18</v>
      </c>
      <c r="C49">
        <v>1</v>
      </c>
      <c r="D49">
        <v>190</v>
      </c>
      <c r="E49">
        <v>3139</v>
      </c>
      <c r="F49">
        <v>209</v>
      </c>
      <c r="G49">
        <v>7139</v>
      </c>
      <c r="H49">
        <v>222</v>
      </c>
      <c r="I49">
        <v>3143</v>
      </c>
      <c r="P49" t="s">
        <v>114</v>
      </c>
      <c r="Q49">
        <v>20260120</v>
      </c>
      <c r="R49" t="s">
        <v>115</v>
      </c>
    </row>
    <row r="50" spans="1:18" x14ac:dyDescent="0.25">
      <c r="A50">
        <v>24</v>
      </c>
      <c r="B50" t="s">
        <v>18</v>
      </c>
      <c r="C50">
        <v>2</v>
      </c>
      <c r="D50">
        <v>421</v>
      </c>
      <c r="E50">
        <v>3257</v>
      </c>
      <c r="F50">
        <v>426</v>
      </c>
      <c r="G50">
        <v>15618</v>
      </c>
      <c r="H50">
        <v>439</v>
      </c>
      <c r="I50">
        <v>4042</v>
      </c>
      <c r="P50" t="s">
        <v>116</v>
      </c>
      <c r="Q50">
        <v>20260120</v>
      </c>
      <c r="R50" t="s">
        <v>117</v>
      </c>
    </row>
    <row r="51" spans="1:18" x14ac:dyDescent="0.25">
      <c r="A51">
        <v>25</v>
      </c>
      <c r="B51" t="s">
        <v>18</v>
      </c>
      <c r="C51">
        <v>1</v>
      </c>
      <c r="D51">
        <v>99</v>
      </c>
      <c r="E51">
        <v>2025</v>
      </c>
      <c r="F51">
        <v>116</v>
      </c>
      <c r="G51">
        <v>3260</v>
      </c>
      <c r="H51">
        <v>124</v>
      </c>
      <c r="I51">
        <v>2704</v>
      </c>
      <c r="P51" t="s">
        <v>118</v>
      </c>
      <c r="Q51">
        <v>20260120</v>
      </c>
      <c r="R51" t="s">
        <v>119</v>
      </c>
    </row>
    <row r="52" spans="1:18" x14ac:dyDescent="0.25">
      <c r="A52">
        <v>25</v>
      </c>
      <c r="B52" t="s">
        <v>18</v>
      </c>
      <c r="C52">
        <v>2</v>
      </c>
      <c r="D52">
        <v>201</v>
      </c>
      <c r="E52">
        <v>2826</v>
      </c>
      <c r="F52">
        <v>210</v>
      </c>
      <c r="G52">
        <v>3145</v>
      </c>
      <c r="H52">
        <v>221</v>
      </c>
      <c r="I52">
        <v>3047</v>
      </c>
      <c r="P52" t="s">
        <v>120</v>
      </c>
      <c r="Q52">
        <v>20260120</v>
      </c>
      <c r="R52" t="s">
        <v>121</v>
      </c>
    </row>
    <row r="53" spans="1:18" x14ac:dyDescent="0.25">
      <c r="A53">
        <v>25</v>
      </c>
      <c r="B53" t="s">
        <v>18</v>
      </c>
      <c r="C53">
        <v>3</v>
      </c>
      <c r="D53">
        <v>348</v>
      </c>
      <c r="E53">
        <v>3334</v>
      </c>
      <c r="F53">
        <v>362</v>
      </c>
      <c r="G53">
        <v>3542</v>
      </c>
      <c r="H53">
        <v>373</v>
      </c>
      <c r="I53">
        <v>3327</v>
      </c>
      <c r="P53" t="s">
        <v>122</v>
      </c>
      <c r="Q53">
        <v>20260120</v>
      </c>
      <c r="R53" t="s">
        <v>123</v>
      </c>
    </row>
    <row r="54" spans="1:18" x14ac:dyDescent="0.25">
      <c r="A54">
        <v>26</v>
      </c>
      <c r="B54" t="s">
        <v>18</v>
      </c>
      <c r="C54">
        <v>1</v>
      </c>
      <c r="D54">
        <v>96</v>
      </c>
      <c r="E54">
        <v>2227</v>
      </c>
      <c r="F54">
        <v>113</v>
      </c>
      <c r="G54">
        <v>4184</v>
      </c>
      <c r="H54">
        <v>121</v>
      </c>
      <c r="I54">
        <v>2997</v>
      </c>
      <c r="P54" t="s">
        <v>124</v>
      </c>
      <c r="Q54">
        <v>20260120</v>
      </c>
      <c r="R54" t="s">
        <v>125</v>
      </c>
    </row>
    <row r="55" spans="1:18" x14ac:dyDescent="0.25">
      <c r="A55">
        <v>26</v>
      </c>
      <c r="B55" t="s">
        <v>18</v>
      </c>
      <c r="C55">
        <v>2</v>
      </c>
      <c r="D55">
        <v>198</v>
      </c>
      <c r="E55">
        <v>3124</v>
      </c>
      <c r="F55">
        <v>207</v>
      </c>
      <c r="G55">
        <v>3574</v>
      </c>
      <c r="H55">
        <v>216</v>
      </c>
      <c r="I55">
        <v>3346</v>
      </c>
      <c r="P55" t="s">
        <v>126</v>
      </c>
      <c r="Q55">
        <v>20260120</v>
      </c>
      <c r="R55" t="s">
        <v>127</v>
      </c>
    </row>
    <row r="56" spans="1:18" x14ac:dyDescent="0.25">
      <c r="A56">
        <v>26</v>
      </c>
      <c r="B56" t="s">
        <v>18</v>
      </c>
      <c r="C56">
        <v>3</v>
      </c>
      <c r="D56">
        <v>341</v>
      </c>
      <c r="E56">
        <v>3634</v>
      </c>
      <c r="F56">
        <v>361</v>
      </c>
      <c r="G56">
        <v>4086</v>
      </c>
      <c r="H56">
        <v>370</v>
      </c>
      <c r="I56">
        <v>3699</v>
      </c>
      <c r="P56" t="s">
        <v>128</v>
      </c>
      <c r="Q56">
        <v>20260120</v>
      </c>
      <c r="R56" t="s">
        <v>129</v>
      </c>
    </row>
    <row r="57" spans="1:18" x14ac:dyDescent="0.25">
      <c r="A57">
        <v>27</v>
      </c>
      <c r="B57" t="s">
        <v>18</v>
      </c>
      <c r="C57">
        <v>1</v>
      </c>
      <c r="D57">
        <v>96</v>
      </c>
      <c r="E57">
        <v>2526</v>
      </c>
      <c r="F57">
        <v>111</v>
      </c>
      <c r="G57">
        <v>4515</v>
      </c>
      <c r="H57">
        <v>118</v>
      </c>
      <c r="I57">
        <v>3230</v>
      </c>
      <c r="P57" t="s">
        <v>130</v>
      </c>
      <c r="Q57">
        <v>20260120</v>
      </c>
      <c r="R57" t="s">
        <v>131</v>
      </c>
    </row>
    <row r="58" spans="1:18" x14ac:dyDescent="0.25">
      <c r="A58">
        <v>27</v>
      </c>
      <c r="B58" t="s">
        <v>18</v>
      </c>
      <c r="C58">
        <v>2</v>
      </c>
      <c r="D58">
        <v>197</v>
      </c>
      <c r="E58">
        <v>3463</v>
      </c>
      <c r="F58">
        <v>204</v>
      </c>
      <c r="G58">
        <v>3985</v>
      </c>
      <c r="H58">
        <v>212</v>
      </c>
      <c r="I58">
        <v>3629</v>
      </c>
      <c r="P58" t="s">
        <v>132</v>
      </c>
      <c r="Q58">
        <v>20260120</v>
      </c>
      <c r="R58" t="s">
        <v>133</v>
      </c>
    </row>
    <row r="59" spans="1:18" x14ac:dyDescent="0.25">
      <c r="A59">
        <v>27</v>
      </c>
      <c r="B59" t="s">
        <v>18</v>
      </c>
      <c r="C59">
        <v>3</v>
      </c>
      <c r="D59">
        <v>341</v>
      </c>
      <c r="E59">
        <v>4049</v>
      </c>
      <c r="F59">
        <v>361</v>
      </c>
      <c r="G59">
        <v>4930</v>
      </c>
      <c r="H59">
        <v>373</v>
      </c>
      <c r="I59">
        <v>3995</v>
      </c>
      <c r="P59" t="s">
        <v>134</v>
      </c>
      <c r="Q59">
        <v>20260120</v>
      </c>
      <c r="R59" t="s">
        <v>135</v>
      </c>
    </row>
    <row r="60" spans="1:18" x14ac:dyDescent="0.25">
      <c r="A60">
        <v>28</v>
      </c>
      <c r="B60" t="s">
        <v>18</v>
      </c>
      <c r="C60">
        <v>1</v>
      </c>
      <c r="D60">
        <v>95</v>
      </c>
      <c r="E60">
        <v>2809</v>
      </c>
      <c r="F60">
        <v>104</v>
      </c>
      <c r="G60">
        <v>4401</v>
      </c>
      <c r="H60">
        <v>108</v>
      </c>
      <c r="I60">
        <v>3561</v>
      </c>
      <c r="P60" t="s">
        <v>136</v>
      </c>
      <c r="Q60">
        <v>20260120</v>
      </c>
      <c r="R60" t="s">
        <v>137</v>
      </c>
    </row>
    <row r="61" spans="1:18" x14ac:dyDescent="0.25">
      <c r="A61">
        <v>28</v>
      </c>
      <c r="B61" t="s">
        <v>21</v>
      </c>
      <c r="C61">
        <v>1</v>
      </c>
      <c r="J61">
        <v>184</v>
      </c>
      <c r="K61">
        <v>3622</v>
      </c>
      <c r="L61">
        <v>209</v>
      </c>
      <c r="M61">
        <v>3878</v>
      </c>
      <c r="N61">
        <v>2</v>
      </c>
      <c r="O61">
        <v>100460</v>
      </c>
      <c r="P61" t="s">
        <v>138</v>
      </c>
      <c r="Q61">
        <v>20260120</v>
      </c>
      <c r="R61" t="s">
        <v>139</v>
      </c>
    </row>
    <row r="62" spans="1:18" x14ac:dyDescent="0.25">
      <c r="A62">
        <v>28</v>
      </c>
      <c r="B62" t="s">
        <v>18</v>
      </c>
      <c r="C62">
        <v>2</v>
      </c>
      <c r="D62">
        <v>338</v>
      </c>
      <c r="E62">
        <v>4406</v>
      </c>
      <c r="F62">
        <v>360</v>
      </c>
      <c r="G62">
        <v>5928</v>
      </c>
      <c r="H62">
        <v>375</v>
      </c>
      <c r="I62">
        <v>4371</v>
      </c>
      <c r="P62" t="s">
        <v>140</v>
      </c>
      <c r="Q62">
        <v>20260120</v>
      </c>
      <c r="R62" t="s">
        <v>141</v>
      </c>
    </row>
    <row r="63" spans="1:18" x14ac:dyDescent="0.25">
      <c r="A63">
        <v>29</v>
      </c>
      <c r="B63" t="s">
        <v>18</v>
      </c>
      <c r="C63">
        <v>1</v>
      </c>
      <c r="D63">
        <v>94</v>
      </c>
      <c r="E63">
        <v>2788</v>
      </c>
      <c r="F63">
        <v>104</v>
      </c>
      <c r="G63">
        <v>4685</v>
      </c>
      <c r="H63">
        <v>109</v>
      </c>
      <c r="I63">
        <v>3412</v>
      </c>
      <c r="P63" t="s">
        <v>142</v>
      </c>
      <c r="Q63">
        <v>20260120</v>
      </c>
      <c r="R63" t="s">
        <v>143</v>
      </c>
    </row>
    <row r="64" spans="1:18" x14ac:dyDescent="0.25">
      <c r="A64">
        <v>29</v>
      </c>
      <c r="B64" t="s">
        <v>18</v>
      </c>
      <c r="C64">
        <v>2</v>
      </c>
      <c r="D64">
        <v>337</v>
      </c>
      <c r="E64">
        <v>4529</v>
      </c>
      <c r="F64">
        <v>363</v>
      </c>
      <c r="G64">
        <v>7249</v>
      </c>
      <c r="H64">
        <v>375</v>
      </c>
      <c r="I64">
        <v>4558</v>
      </c>
      <c r="P64" t="s">
        <v>144</v>
      </c>
      <c r="Q64">
        <v>20260120</v>
      </c>
      <c r="R64" t="s">
        <v>145</v>
      </c>
    </row>
    <row r="65" spans="1:18" x14ac:dyDescent="0.25">
      <c r="A65">
        <v>30</v>
      </c>
      <c r="B65" t="s">
        <v>18</v>
      </c>
      <c r="C65">
        <v>1</v>
      </c>
      <c r="D65">
        <v>91</v>
      </c>
      <c r="E65">
        <v>3027</v>
      </c>
      <c r="F65">
        <v>103</v>
      </c>
      <c r="G65">
        <v>5780</v>
      </c>
      <c r="H65">
        <v>111</v>
      </c>
      <c r="I65">
        <v>3631</v>
      </c>
      <c r="P65" t="s">
        <v>146</v>
      </c>
      <c r="Q65">
        <v>20260120</v>
      </c>
      <c r="R65" t="s">
        <v>147</v>
      </c>
    </row>
    <row r="66" spans="1:18" x14ac:dyDescent="0.25">
      <c r="A66">
        <v>30</v>
      </c>
      <c r="B66" t="s">
        <v>21</v>
      </c>
      <c r="C66">
        <v>1</v>
      </c>
      <c r="J66">
        <v>220</v>
      </c>
      <c r="K66">
        <v>4404</v>
      </c>
      <c r="L66">
        <v>252</v>
      </c>
      <c r="M66">
        <v>4533</v>
      </c>
      <c r="N66">
        <v>2</v>
      </c>
      <c r="O66">
        <v>157607</v>
      </c>
      <c r="P66" t="s">
        <v>148</v>
      </c>
      <c r="Q66">
        <v>20260120</v>
      </c>
      <c r="R66" t="s">
        <v>149</v>
      </c>
    </row>
    <row r="67" spans="1:18" x14ac:dyDescent="0.25">
      <c r="A67">
        <v>30</v>
      </c>
      <c r="B67" t="s">
        <v>18</v>
      </c>
      <c r="C67">
        <v>2</v>
      </c>
      <c r="D67">
        <v>332</v>
      </c>
      <c r="E67">
        <v>5071</v>
      </c>
      <c r="F67">
        <v>367</v>
      </c>
      <c r="G67">
        <v>10885</v>
      </c>
      <c r="H67">
        <v>381</v>
      </c>
      <c r="I67">
        <v>5069</v>
      </c>
      <c r="P67" t="s">
        <v>150</v>
      </c>
      <c r="Q67">
        <v>20260120</v>
      </c>
      <c r="R67" t="s">
        <v>151</v>
      </c>
    </row>
    <row r="68" spans="1:18" x14ac:dyDescent="0.25">
      <c r="A68">
        <v>31</v>
      </c>
      <c r="B68" t="s">
        <v>18</v>
      </c>
      <c r="C68">
        <v>1</v>
      </c>
      <c r="D68">
        <v>92</v>
      </c>
      <c r="E68">
        <v>2948</v>
      </c>
      <c r="F68">
        <v>104</v>
      </c>
      <c r="G68">
        <v>5916</v>
      </c>
      <c r="H68">
        <v>110</v>
      </c>
      <c r="I68">
        <v>3631</v>
      </c>
      <c r="P68" t="s">
        <v>152</v>
      </c>
      <c r="Q68">
        <v>20260120</v>
      </c>
      <c r="R68" t="s">
        <v>153</v>
      </c>
    </row>
    <row r="69" spans="1:18" x14ac:dyDescent="0.25">
      <c r="A69">
        <v>31</v>
      </c>
      <c r="B69" t="s">
        <v>18</v>
      </c>
      <c r="C69">
        <v>2</v>
      </c>
      <c r="D69">
        <v>328</v>
      </c>
      <c r="E69">
        <v>4891</v>
      </c>
      <c r="F69">
        <v>368</v>
      </c>
      <c r="G69">
        <v>11890</v>
      </c>
      <c r="H69">
        <v>384</v>
      </c>
      <c r="I69">
        <v>5085</v>
      </c>
      <c r="P69" t="s">
        <v>154</v>
      </c>
      <c r="Q69">
        <v>20260120</v>
      </c>
      <c r="R69" t="s">
        <v>155</v>
      </c>
    </row>
    <row r="70" spans="1:18" x14ac:dyDescent="0.25">
      <c r="A70">
        <v>32</v>
      </c>
      <c r="B70" t="s">
        <v>18</v>
      </c>
      <c r="C70">
        <v>1</v>
      </c>
      <c r="D70">
        <v>96</v>
      </c>
      <c r="E70">
        <v>2526</v>
      </c>
      <c r="F70">
        <v>111</v>
      </c>
      <c r="G70">
        <v>4515</v>
      </c>
      <c r="H70">
        <v>118</v>
      </c>
      <c r="I70">
        <v>3230</v>
      </c>
      <c r="P70" t="s">
        <v>156</v>
      </c>
      <c r="Q70">
        <v>20260120</v>
      </c>
      <c r="R70" t="s">
        <v>131</v>
      </c>
    </row>
    <row r="71" spans="1:18" x14ac:dyDescent="0.25">
      <c r="A71">
        <v>32</v>
      </c>
      <c r="B71" t="s">
        <v>18</v>
      </c>
      <c r="C71">
        <v>2</v>
      </c>
      <c r="D71">
        <v>198</v>
      </c>
      <c r="E71">
        <v>3495</v>
      </c>
      <c r="F71">
        <v>203</v>
      </c>
      <c r="G71">
        <v>3965</v>
      </c>
      <c r="H71">
        <v>210</v>
      </c>
      <c r="I71">
        <v>3671</v>
      </c>
      <c r="P71" t="s">
        <v>157</v>
      </c>
      <c r="Q71">
        <v>20260120</v>
      </c>
      <c r="R71" t="s">
        <v>158</v>
      </c>
    </row>
    <row r="72" spans="1:18" x14ac:dyDescent="0.25">
      <c r="A72">
        <v>32</v>
      </c>
      <c r="B72" t="s">
        <v>18</v>
      </c>
      <c r="C72">
        <v>3</v>
      </c>
      <c r="D72">
        <v>340</v>
      </c>
      <c r="E72">
        <v>4009</v>
      </c>
      <c r="F72">
        <v>361</v>
      </c>
      <c r="G72">
        <v>4930</v>
      </c>
      <c r="H72">
        <v>373</v>
      </c>
      <c r="I72">
        <v>3995</v>
      </c>
      <c r="P72" t="s">
        <v>159</v>
      </c>
      <c r="Q72">
        <v>20260120</v>
      </c>
      <c r="R72" t="s">
        <v>160</v>
      </c>
    </row>
    <row r="73" spans="1:18" x14ac:dyDescent="0.25">
      <c r="A73">
        <v>33</v>
      </c>
      <c r="B73" t="s">
        <v>18</v>
      </c>
      <c r="C73">
        <v>1</v>
      </c>
      <c r="D73">
        <v>95</v>
      </c>
      <c r="E73">
        <v>2809</v>
      </c>
      <c r="F73">
        <v>104</v>
      </c>
      <c r="G73">
        <v>4401</v>
      </c>
      <c r="H73">
        <v>111</v>
      </c>
      <c r="I73">
        <v>3457</v>
      </c>
      <c r="P73" t="s">
        <v>161</v>
      </c>
      <c r="Q73">
        <v>20260120</v>
      </c>
      <c r="R73" t="s">
        <v>162</v>
      </c>
    </row>
    <row r="74" spans="1:18" x14ac:dyDescent="0.25">
      <c r="A74">
        <v>33</v>
      </c>
      <c r="B74" t="s">
        <v>21</v>
      </c>
      <c r="C74">
        <v>1</v>
      </c>
      <c r="J74">
        <v>186</v>
      </c>
      <c r="K74">
        <v>3683</v>
      </c>
      <c r="L74">
        <v>209</v>
      </c>
      <c r="M74">
        <v>3878</v>
      </c>
      <c r="N74">
        <v>2</v>
      </c>
      <c r="O74">
        <v>93264</v>
      </c>
      <c r="P74" t="s">
        <v>163</v>
      </c>
      <c r="Q74">
        <v>20260120</v>
      </c>
      <c r="R74" t="s">
        <v>164</v>
      </c>
    </row>
    <row r="75" spans="1:18" x14ac:dyDescent="0.25">
      <c r="A75">
        <v>33</v>
      </c>
      <c r="B75" t="s">
        <v>18</v>
      </c>
      <c r="C75">
        <v>2</v>
      </c>
      <c r="D75">
        <v>338</v>
      </c>
      <c r="E75">
        <v>4406</v>
      </c>
      <c r="F75">
        <v>361</v>
      </c>
      <c r="G75">
        <v>5926</v>
      </c>
      <c r="H75">
        <v>372</v>
      </c>
      <c r="I75">
        <v>4464</v>
      </c>
      <c r="P75" t="s">
        <v>165</v>
      </c>
      <c r="Q75">
        <v>20260120</v>
      </c>
      <c r="R75" t="s">
        <v>166</v>
      </c>
    </row>
    <row r="76" spans="1:18" x14ac:dyDescent="0.25">
      <c r="A76">
        <v>34</v>
      </c>
      <c r="B76" t="s">
        <v>18</v>
      </c>
      <c r="C76">
        <v>1</v>
      </c>
      <c r="D76">
        <v>94</v>
      </c>
      <c r="E76">
        <v>2788</v>
      </c>
      <c r="F76">
        <v>104</v>
      </c>
      <c r="G76">
        <v>4685</v>
      </c>
      <c r="H76">
        <v>109</v>
      </c>
      <c r="I76">
        <v>3412</v>
      </c>
      <c r="P76" t="s">
        <v>167</v>
      </c>
      <c r="Q76">
        <v>20260120</v>
      </c>
      <c r="R76" t="s">
        <v>143</v>
      </c>
    </row>
    <row r="77" spans="1:18" x14ac:dyDescent="0.25">
      <c r="A77">
        <v>34</v>
      </c>
      <c r="B77" t="s">
        <v>21</v>
      </c>
      <c r="C77">
        <v>1</v>
      </c>
      <c r="J77">
        <v>219</v>
      </c>
      <c r="K77">
        <v>3942</v>
      </c>
      <c r="L77">
        <v>251</v>
      </c>
      <c r="M77">
        <v>4119</v>
      </c>
      <c r="N77">
        <v>2</v>
      </c>
      <c r="O77">
        <v>137623</v>
      </c>
      <c r="P77" t="s">
        <v>168</v>
      </c>
      <c r="Q77">
        <v>20260120</v>
      </c>
      <c r="R77" t="s">
        <v>169</v>
      </c>
    </row>
    <row r="78" spans="1:18" x14ac:dyDescent="0.25">
      <c r="A78">
        <v>34</v>
      </c>
      <c r="B78" t="s">
        <v>18</v>
      </c>
      <c r="C78">
        <v>2</v>
      </c>
      <c r="D78">
        <v>338</v>
      </c>
      <c r="E78">
        <v>4583</v>
      </c>
      <c r="F78">
        <v>362</v>
      </c>
      <c r="G78">
        <v>7236</v>
      </c>
      <c r="H78">
        <v>375</v>
      </c>
      <c r="I78">
        <v>4558</v>
      </c>
      <c r="P78" t="s">
        <v>170</v>
      </c>
      <c r="Q78">
        <v>20260120</v>
      </c>
      <c r="R78" t="s">
        <v>171</v>
      </c>
    </row>
    <row r="79" spans="1:18" x14ac:dyDescent="0.25">
      <c r="A79">
        <v>35</v>
      </c>
      <c r="B79" t="s">
        <v>18</v>
      </c>
      <c r="C79">
        <v>1</v>
      </c>
      <c r="D79">
        <v>91</v>
      </c>
      <c r="E79">
        <v>3027</v>
      </c>
      <c r="F79">
        <v>104</v>
      </c>
      <c r="G79">
        <v>5877</v>
      </c>
      <c r="H79">
        <v>111</v>
      </c>
      <c r="I79">
        <v>3631</v>
      </c>
      <c r="P79" t="s">
        <v>172</v>
      </c>
      <c r="Q79">
        <v>20260120</v>
      </c>
      <c r="R79" t="s">
        <v>173</v>
      </c>
    </row>
    <row r="80" spans="1:18" x14ac:dyDescent="0.25">
      <c r="A80">
        <v>35</v>
      </c>
      <c r="B80" t="s">
        <v>18</v>
      </c>
      <c r="C80">
        <v>2</v>
      </c>
      <c r="D80">
        <v>334</v>
      </c>
      <c r="E80">
        <v>5173</v>
      </c>
      <c r="F80">
        <v>366</v>
      </c>
      <c r="G80">
        <v>10910</v>
      </c>
      <c r="H80">
        <v>380</v>
      </c>
      <c r="I80">
        <v>5137</v>
      </c>
      <c r="P80" t="s">
        <v>174</v>
      </c>
      <c r="Q80">
        <v>20260120</v>
      </c>
      <c r="R80" t="s">
        <v>175</v>
      </c>
    </row>
    <row r="81" spans="1:18" x14ac:dyDescent="0.25">
      <c r="A81">
        <v>36</v>
      </c>
      <c r="B81" t="s">
        <v>18</v>
      </c>
      <c r="C81">
        <v>1</v>
      </c>
      <c r="D81">
        <v>91</v>
      </c>
      <c r="E81">
        <v>2856</v>
      </c>
      <c r="F81">
        <v>104</v>
      </c>
      <c r="G81">
        <v>5916</v>
      </c>
      <c r="H81">
        <v>110</v>
      </c>
      <c r="I81">
        <v>3631</v>
      </c>
      <c r="P81" t="s">
        <v>176</v>
      </c>
      <c r="Q81">
        <v>20260120</v>
      </c>
      <c r="R81" t="s">
        <v>177</v>
      </c>
    </row>
    <row r="82" spans="1:18" x14ac:dyDescent="0.25">
      <c r="A82">
        <v>36</v>
      </c>
      <c r="B82" t="s">
        <v>18</v>
      </c>
      <c r="C82">
        <v>2</v>
      </c>
      <c r="D82">
        <v>336</v>
      </c>
      <c r="E82">
        <v>5317</v>
      </c>
      <c r="F82">
        <v>368</v>
      </c>
      <c r="G82">
        <v>11890</v>
      </c>
      <c r="H82">
        <v>383</v>
      </c>
      <c r="I82">
        <v>5148</v>
      </c>
      <c r="P82" t="s">
        <v>178</v>
      </c>
      <c r="Q82">
        <v>20260120</v>
      </c>
      <c r="R82" t="s">
        <v>179</v>
      </c>
    </row>
    <row r="83" spans="1:18" x14ac:dyDescent="0.25">
      <c r="A83">
        <v>37</v>
      </c>
      <c r="B83" t="s">
        <v>18</v>
      </c>
      <c r="C83">
        <v>1</v>
      </c>
      <c r="D83">
        <v>153</v>
      </c>
      <c r="E83">
        <v>3816</v>
      </c>
      <c r="F83">
        <v>157</v>
      </c>
      <c r="G83">
        <v>3901</v>
      </c>
      <c r="H83">
        <v>161</v>
      </c>
      <c r="I83">
        <v>3778</v>
      </c>
      <c r="P83" t="s">
        <v>180</v>
      </c>
      <c r="Q83">
        <v>20260120</v>
      </c>
      <c r="R83" t="s">
        <v>181</v>
      </c>
    </row>
    <row r="84" spans="1:18" x14ac:dyDescent="0.25">
      <c r="A84">
        <v>37</v>
      </c>
      <c r="B84" t="s">
        <v>18</v>
      </c>
      <c r="C84">
        <v>2</v>
      </c>
      <c r="D84">
        <v>211</v>
      </c>
      <c r="E84">
        <v>3927</v>
      </c>
      <c r="F84">
        <v>223</v>
      </c>
      <c r="G84">
        <v>4146</v>
      </c>
      <c r="H84">
        <v>236</v>
      </c>
      <c r="I84">
        <v>3887</v>
      </c>
      <c r="P84" t="s">
        <v>182</v>
      </c>
      <c r="Q84">
        <v>20260120</v>
      </c>
      <c r="R84" t="s">
        <v>183</v>
      </c>
    </row>
    <row r="85" spans="1:18" x14ac:dyDescent="0.25">
      <c r="A85">
        <v>37</v>
      </c>
      <c r="B85" t="s">
        <v>18</v>
      </c>
      <c r="C85">
        <v>3</v>
      </c>
      <c r="D85">
        <v>289</v>
      </c>
      <c r="E85">
        <v>3996</v>
      </c>
      <c r="F85">
        <v>293</v>
      </c>
      <c r="G85">
        <v>4134</v>
      </c>
      <c r="H85">
        <v>297</v>
      </c>
      <c r="I85">
        <v>4024</v>
      </c>
      <c r="P85" t="s">
        <v>184</v>
      </c>
      <c r="Q85">
        <v>20260120</v>
      </c>
      <c r="R85" t="s">
        <v>185</v>
      </c>
    </row>
    <row r="86" spans="1:18" x14ac:dyDescent="0.25">
      <c r="A86">
        <v>38</v>
      </c>
      <c r="B86" t="s">
        <v>18</v>
      </c>
      <c r="C86">
        <v>1</v>
      </c>
      <c r="D86">
        <v>61</v>
      </c>
      <c r="E86">
        <v>3603</v>
      </c>
      <c r="F86">
        <v>69</v>
      </c>
      <c r="G86">
        <v>4051</v>
      </c>
      <c r="H86">
        <v>77</v>
      </c>
      <c r="I86">
        <v>3815</v>
      </c>
      <c r="P86" t="s">
        <v>186</v>
      </c>
      <c r="Q86">
        <v>20260120</v>
      </c>
      <c r="R86" t="s">
        <v>187</v>
      </c>
    </row>
    <row r="87" spans="1:18" x14ac:dyDescent="0.25">
      <c r="A87">
        <v>38</v>
      </c>
      <c r="B87" t="s">
        <v>18</v>
      </c>
      <c r="C87">
        <v>2</v>
      </c>
      <c r="D87">
        <v>150</v>
      </c>
      <c r="E87">
        <v>4010</v>
      </c>
      <c r="F87">
        <v>155</v>
      </c>
      <c r="G87">
        <v>4158</v>
      </c>
      <c r="H87">
        <v>158</v>
      </c>
      <c r="I87">
        <v>3974</v>
      </c>
      <c r="P87" t="s">
        <v>188</v>
      </c>
      <c r="Q87">
        <v>20260120</v>
      </c>
      <c r="R87" t="s">
        <v>189</v>
      </c>
    </row>
    <row r="88" spans="1:18" x14ac:dyDescent="0.25">
      <c r="A88">
        <v>38</v>
      </c>
      <c r="B88" t="s">
        <v>18</v>
      </c>
      <c r="C88">
        <v>3</v>
      </c>
      <c r="D88">
        <v>199</v>
      </c>
      <c r="E88">
        <v>4066</v>
      </c>
      <c r="F88">
        <v>222</v>
      </c>
      <c r="G88">
        <v>4622</v>
      </c>
      <c r="H88">
        <v>236</v>
      </c>
      <c r="I88">
        <v>4147</v>
      </c>
      <c r="P88" t="s">
        <v>190</v>
      </c>
      <c r="Q88">
        <v>20260120</v>
      </c>
      <c r="R88" t="s">
        <v>191</v>
      </c>
    </row>
    <row r="89" spans="1:18" x14ac:dyDescent="0.25">
      <c r="A89">
        <v>38</v>
      </c>
      <c r="B89" t="s">
        <v>18</v>
      </c>
      <c r="C89">
        <v>4</v>
      </c>
      <c r="D89">
        <v>288</v>
      </c>
      <c r="E89">
        <v>4281</v>
      </c>
      <c r="F89">
        <v>292</v>
      </c>
      <c r="G89">
        <v>4437</v>
      </c>
      <c r="H89">
        <v>295</v>
      </c>
      <c r="I89">
        <v>4281</v>
      </c>
      <c r="P89" t="s">
        <v>192</v>
      </c>
      <c r="Q89">
        <v>20260120</v>
      </c>
      <c r="R89" t="s">
        <v>193</v>
      </c>
    </row>
    <row r="90" spans="1:18" x14ac:dyDescent="0.25">
      <c r="A90">
        <v>39</v>
      </c>
      <c r="B90" t="s">
        <v>18</v>
      </c>
      <c r="C90">
        <v>1</v>
      </c>
      <c r="D90">
        <v>60</v>
      </c>
      <c r="E90">
        <v>3755</v>
      </c>
      <c r="F90">
        <v>66</v>
      </c>
      <c r="G90">
        <v>4244</v>
      </c>
      <c r="H90">
        <v>72</v>
      </c>
      <c r="I90">
        <v>3930</v>
      </c>
      <c r="P90" t="s">
        <v>194</v>
      </c>
      <c r="Q90">
        <v>20260120</v>
      </c>
      <c r="R90" t="s">
        <v>195</v>
      </c>
    </row>
    <row r="91" spans="1:18" x14ac:dyDescent="0.25">
      <c r="A91">
        <v>39</v>
      </c>
      <c r="B91" t="s">
        <v>18</v>
      </c>
      <c r="C91">
        <v>2</v>
      </c>
      <c r="D91">
        <v>147</v>
      </c>
      <c r="E91">
        <v>4066</v>
      </c>
      <c r="F91">
        <v>155</v>
      </c>
      <c r="G91">
        <v>4313</v>
      </c>
      <c r="H91">
        <v>159</v>
      </c>
      <c r="I91">
        <v>4061</v>
      </c>
      <c r="P91" t="s">
        <v>196</v>
      </c>
      <c r="Q91">
        <v>20260120</v>
      </c>
      <c r="R91" t="s">
        <v>197</v>
      </c>
    </row>
    <row r="92" spans="1:18" x14ac:dyDescent="0.25">
      <c r="A92">
        <v>39</v>
      </c>
      <c r="B92" t="s">
        <v>18</v>
      </c>
      <c r="C92">
        <v>3</v>
      </c>
      <c r="D92">
        <v>199</v>
      </c>
      <c r="E92">
        <v>4248</v>
      </c>
      <c r="F92">
        <v>222</v>
      </c>
      <c r="G92">
        <v>5262</v>
      </c>
      <c r="H92">
        <v>234</v>
      </c>
      <c r="I92">
        <v>4338</v>
      </c>
      <c r="P92" t="s">
        <v>198</v>
      </c>
      <c r="Q92">
        <v>20260120</v>
      </c>
      <c r="R92" t="s">
        <v>199</v>
      </c>
    </row>
    <row r="93" spans="1:18" x14ac:dyDescent="0.25">
      <c r="A93">
        <v>39</v>
      </c>
      <c r="B93" t="s">
        <v>18</v>
      </c>
      <c r="C93">
        <v>4</v>
      </c>
      <c r="D93">
        <v>289</v>
      </c>
      <c r="E93">
        <v>4449</v>
      </c>
      <c r="F93">
        <v>291</v>
      </c>
      <c r="G93">
        <v>4672</v>
      </c>
      <c r="H93">
        <v>295</v>
      </c>
      <c r="I93">
        <v>4442</v>
      </c>
      <c r="P93" t="s">
        <v>200</v>
      </c>
      <c r="Q93">
        <v>20260120</v>
      </c>
      <c r="R93" t="s">
        <v>201</v>
      </c>
    </row>
    <row r="94" spans="1:18" x14ac:dyDescent="0.25">
      <c r="A94">
        <v>40</v>
      </c>
      <c r="B94" t="s">
        <v>21</v>
      </c>
      <c r="C94">
        <v>1</v>
      </c>
      <c r="J94">
        <v>48</v>
      </c>
      <c r="K94">
        <v>3679</v>
      </c>
      <c r="L94">
        <v>70</v>
      </c>
      <c r="M94">
        <v>3894</v>
      </c>
      <c r="N94">
        <v>2</v>
      </c>
      <c r="O94">
        <v>89301</v>
      </c>
      <c r="P94" t="s">
        <v>202</v>
      </c>
      <c r="Q94">
        <v>20260120</v>
      </c>
      <c r="R94" t="s">
        <v>203</v>
      </c>
    </row>
    <row r="95" spans="1:18" x14ac:dyDescent="0.25">
      <c r="A95">
        <v>40</v>
      </c>
      <c r="B95" t="s">
        <v>18</v>
      </c>
      <c r="C95">
        <v>1</v>
      </c>
      <c r="D95">
        <v>147</v>
      </c>
      <c r="E95">
        <v>4144</v>
      </c>
      <c r="F95">
        <v>154</v>
      </c>
      <c r="G95">
        <v>4395</v>
      </c>
      <c r="H95">
        <v>159</v>
      </c>
      <c r="I95">
        <v>4126</v>
      </c>
      <c r="P95" t="s">
        <v>204</v>
      </c>
      <c r="Q95">
        <v>20260120</v>
      </c>
      <c r="R95" t="s">
        <v>205</v>
      </c>
    </row>
    <row r="96" spans="1:18" x14ac:dyDescent="0.25">
      <c r="A96">
        <v>40</v>
      </c>
      <c r="B96" t="s">
        <v>18</v>
      </c>
      <c r="C96">
        <v>2</v>
      </c>
      <c r="D96">
        <v>197</v>
      </c>
      <c r="E96">
        <v>4347</v>
      </c>
      <c r="F96">
        <v>223</v>
      </c>
      <c r="G96">
        <v>5923</v>
      </c>
      <c r="H96">
        <v>235</v>
      </c>
      <c r="I96">
        <v>4431</v>
      </c>
      <c r="P96" t="s">
        <v>206</v>
      </c>
      <c r="Q96">
        <v>20260120</v>
      </c>
      <c r="R96" t="s">
        <v>207</v>
      </c>
    </row>
    <row r="97" spans="1:18" x14ac:dyDescent="0.25">
      <c r="A97">
        <v>41</v>
      </c>
      <c r="B97" t="s">
        <v>18</v>
      </c>
      <c r="C97">
        <v>1</v>
      </c>
      <c r="D97">
        <v>59</v>
      </c>
      <c r="E97">
        <v>3661</v>
      </c>
      <c r="F97">
        <v>64</v>
      </c>
      <c r="G97">
        <v>3988</v>
      </c>
      <c r="H97">
        <v>70</v>
      </c>
      <c r="I97">
        <v>3861</v>
      </c>
      <c r="P97" t="s">
        <v>208</v>
      </c>
      <c r="Q97">
        <v>20260120</v>
      </c>
      <c r="R97" t="s">
        <v>209</v>
      </c>
    </row>
    <row r="98" spans="1:18" x14ac:dyDescent="0.25">
      <c r="A98">
        <v>41</v>
      </c>
      <c r="B98" t="s">
        <v>18</v>
      </c>
      <c r="C98">
        <v>2</v>
      </c>
      <c r="D98">
        <v>146</v>
      </c>
      <c r="E98">
        <v>4121</v>
      </c>
      <c r="F98">
        <v>152</v>
      </c>
      <c r="G98">
        <v>4350</v>
      </c>
      <c r="H98">
        <v>157</v>
      </c>
      <c r="I98">
        <v>4112</v>
      </c>
      <c r="P98" t="s">
        <v>210</v>
      </c>
      <c r="Q98">
        <v>20260120</v>
      </c>
      <c r="R98" t="s">
        <v>211</v>
      </c>
    </row>
    <row r="99" spans="1:18" x14ac:dyDescent="0.25">
      <c r="A99">
        <v>41</v>
      </c>
      <c r="B99" t="s">
        <v>18</v>
      </c>
      <c r="C99">
        <v>3</v>
      </c>
      <c r="D99">
        <v>199</v>
      </c>
      <c r="E99">
        <v>4494</v>
      </c>
      <c r="F99">
        <v>225</v>
      </c>
      <c r="G99">
        <v>7211</v>
      </c>
      <c r="H99">
        <v>238</v>
      </c>
      <c r="I99">
        <v>4476</v>
      </c>
      <c r="P99" t="s">
        <v>212</v>
      </c>
      <c r="Q99">
        <v>20260120</v>
      </c>
      <c r="R99" t="s">
        <v>213</v>
      </c>
    </row>
    <row r="100" spans="1:18" x14ac:dyDescent="0.25">
      <c r="A100">
        <v>42</v>
      </c>
      <c r="B100" t="s">
        <v>18</v>
      </c>
      <c r="C100">
        <v>1</v>
      </c>
      <c r="D100">
        <v>60</v>
      </c>
      <c r="E100">
        <v>3792</v>
      </c>
      <c r="F100">
        <v>64</v>
      </c>
      <c r="G100">
        <v>4221</v>
      </c>
      <c r="H100">
        <v>70</v>
      </c>
      <c r="I100">
        <v>4032</v>
      </c>
      <c r="P100" t="s">
        <v>214</v>
      </c>
      <c r="Q100">
        <v>20260120</v>
      </c>
      <c r="R100" t="s">
        <v>215</v>
      </c>
    </row>
    <row r="101" spans="1:18" x14ac:dyDescent="0.25">
      <c r="A101">
        <v>42</v>
      </c>
      <c r="B101" t="s">
        <v>18</v>
      </c>
      <c r="C101">
        <v>2</v>
      </c>
      <c r="D101">
        <v>144</v>
      </c>
      <c r="E101">
        <v>4326</v>
      </c>
      <c r="F101">
        <v>150</v>
      </c>
      <c r="G101">
        <v>4567</v>
      </c>
      <c r="H101">
        <v>155</v>
      </c>
      <c r="I101">
        <v>4367</v>
      </c>
      <c r="P101" t="s">
        <v>216</v>
      </c>
      <c r="Q101">
        <v>20260120</v>
      </c>
      <c r="R101" t="s">
        <v>217</v>
      </c>
    </row>
    <row r="102" spans="1:18" x14ac:dyDescent="0.25">
      <c r="A102">
        <v>42</v>
      </c>
      <c r="B102" t="s">
        <v>18</v>
      </c>
      <c r="C102">
        <v>3</v>
      </c>
      <c r="D102">
        <v>198</v>
      </c>
      <c r="E102">
        <v>5039</v>
      </c>
      <c r="F102">
        <v>229</v>
      </c>
      <c r="G102">
        <v>10620</v>
      </c>
      <c r="H102">
        <v>242</v>
      </c>
      <c r="I102">
        <v>4882</v>
      </c>
      <c r="P102" t="s">
        <v>218</v>
      </c>
      <c r="Q102">
        <v>20260120</v>
      </c>
      <c r="R102" t="s">
        <v>219</v>
      </c>
    </row>
    <row r="103" spans="1:18" x14ac:dyDescent="0.25">
      <c r="A103">
        <v>43</v>
      </c>
      <c r="B103" t="s">
        <v>18</v>
      </c>
      <c r="C103">
        <v>1</v>
      </c>
      <c r="D103">
        <v>60</v>
      </c>
      <c r="E103">
        <v>3586</v>
      </c>
      <c r="F103">
        <v>66</v>
      </c>
      <c r="G103">
        <v>4082</v>
      </c>
      <c r="H103">
        <v>72</v>
      </c>
      <c r="I103">
        <v>3956</v>
      </c>
      <c r="P103" t="s">
        <v>220</v>
      </c>
      <c r="Q103">
        <v>20260120</v>
      </c>
      <c r="R103" t="s">
        <v>221</v>
      </c>
    </row>
    <row r="104" spans="1:18" x14ac:dyDescent="0.25">
      <c r="A104">
        <v>43</v>
      </c>
      <c r="B104" t="s">
        <v>18</v>
      </c>
      <c r="C104">
        <v>2</v>
      </c>
      <c r="D104">
        <v>145</v>
      </c>
      <c r="E104">
        <v>4294</v>
      </c>
      <c r="F104">
        <v>149</v>
      </c>
      <c r="G104">
        <v>4504</v>
      </c>
      <c r="H104">
        <v>154</v>
      </c>
      <c r="I104">
        <v>4314</v>
      </c>
      <c r="P104" t="s">
        <v>222</v>
      </c>
      <c r="Q104">
        <v>20260120</v>
      </c>
      <c r="R104" t="s">
        <v>223</v>
      </c>
    </row>
    <row r="105" spans="1:18" x14ac:dyDescent="0.25">
      <c r="A105">
        <v>43</v>
      </c>
      <c r="B105" t="s">
        <v>18</v>
      </c>
      <c r="C105">
        <v>3</v>
      </c>
      <c r="D105">
        <v>198</v>
      </c>
      <c r="E105">
        <v>5064</v>
      </c>
      <c r="F105">
        <v>230</v>
      </c>
      <c r="G105">
        <v>11646</v>
      </c>
      <c r="H105">
        <v>245</v>
      </c>
      <c r="I105">
        <v>4897</v>
      </c>
      <c r="P105" t="s">
        <v>224</v>
      </c>
      <c r="Q105">
        <v>20260120</v>
      </c>
      <c r="R105" t="s">
        <v>225</v>
      </c>
    </row>
    <row r="106" spans="1:18" x14ac:dyDescent="0.25">
      <c r="A106">
        <v>44</v>
      </c>
      <c r="B106" t="s">
        <v>18</v>
      </c>
      <c r="C106">
        <v>1</v>
      </c>
      <c r="D106">
        <v>332</v>
      </c>
      <c r="E106">
        <v>6012</v>
      </c>
      <c r="F106">
        <v>341</v>
      </c>
      <c r="G106">
        <v>6541</v>
      </c>
      <c r="H106">
        <v>348</v>
      </c>
      <c r="I106">
        <v>6013</v>
      </c>
      <c r="P106" t="s">
        <v>226</v>
      </c>
      <c r="Q106">
        <v>20260120</v>
      </c>
      <c r="R106" t="s">
        <v>227</v>
      </c>
    </row>
    <row r="107" spans="1:18" x14ac:dyDescent="0.25">
      <c r="A107">
        <v>44</v>
      </c>
      <c r="B107" t="s">
        <v>18</v>
      </c>
      <c r="C107">
        <v>2</v>
      </c>
      <c r="D107">
        <v>374</v>
      </c>
      <c r="E107">
        <v>6472</v>
      </c>
      <c r="F107">
        <v>383</v>
      </c>
      <c r="G107">
        <v>7786.0000000000009</v>
      </c>
      <c r="H107">
        <v>393</v>
      </c>
      <c r="I107">
        <v>6079</v>
      </c>
      <c r="P107" t="s">
        <v>228</v>
      </c>
      <c r="Q107">
        <v>20260120</v>
      </c>
      <c r="R107" t="s">
        <v>229</v>
      </c>
    </row>
    <row r="108" spans="1:18" x14ac:dyDescent="0.25">
      <c r="A108">
        <v>44</v>
      </c>
      <c r="B108" t="s">
        <v>18</v>
      </c>
      <c r="C108">
        <v>3</v>
      </c>
      <c r="D108">
        <v>438</v>
      </c>
      <c r="E108">
        <v>5859</v>
      </c>
      <c r="F108">
        <v>451</v>
      </c>
      <c r="G108">
        <v>6291</v>
      </c>
      <c r="H108">
        <v>462</v>
      </c>
      <c r="I108">
        <v>5816</v>
      </c>
      <c r="P108" t="s">
        <v>230</v>
      </c>
      <c r="Q108">
        <v>20260120</v>
      </c>
      <c r="R108" t="s">
        <v>231</v>
      </c>
    </row>
    <row r="109" spans="1:18" x14ac:dyDescent="0.25">
      <c r="A109">
        <v>44</v>
      </c>
      <c r="B109" t="s">
        <v>18</v>
      </c>
      <c r="C109">
        <v>4</v>
      </c>
      <c r="D109">
        <v>512</v>
      </c>
      <c r="E109">
        <v>5901</v>
      </c>
      <c r="F109">
        <v>532</v>
      </c>
      <c r="G109">
        <v>7364</v>
      </c>
      <c r="H109">
        <v>551</v>
      </c>
      <c r="I109">
        <v>6000</v>
      </c>
      <c r="P109" t="s">
        <v>232</v>
      </c>
      <c r="Q109">
        <v>20260120</v>
      </c>
      <c r="R109" t="s">
        <v>233</v>
      </c>
    </row>
    <row r="110" spans="1:18" x14ac:dyDescent="0.25">
      <c r="A110">
        <v>44</v>
      </c>
      <c r="B110" t="s">
        <v>18</v>
      </c>
      <c r="C110">
        <v>5</v>
      </c>
      <c r="D110">
        <v>589</v>
      </c>
      <c r="E110">
        <v>5894</v>
      </c>
      <c r="F110">
        <v>610</v>
      </c>
      <c r="G110">
        <v>8346</v>
      </c>
      <c r="H110">
        <v>626</v>
      </c>
      <c r="I110">
        <v>5981</v>
      </c>
      <c r="P110" t="s">
        <v>234</v>
      </c>
      <c r="Q110">
        <v>20260120</v>
      </c>
      <c r="R110" t="s">
        <v>235</v>
      </c>
    </row>
    <row r="111" spans="1:18" x14ac:dyDescent="0.25">
      <c r="A111">
        <v>44</v>
      </c>
      <c r="B111" t="s">
        <v>18</v>
      </c>
      <c r="C111">
        <v>6</v>
      </c>
      <c r="D111">
        <v>698</v>
      </c>
      <c r="E111">
        <v>5712</v>
      </c>
      <c r="F111">
        <v>717</v>
      </c>
      <c r="G111">
        <v>7438.9999999999991</v>
      </c>
      <c r="H111">
        <v>730</v>
      </c>
      <c r="I111">
        <v>5585</v>
      </c>
      <c r="P111" t="s">
        <v>236</v>
      </c>
      <c r="Q111">
        <v>20260120</v>
      </c>
      <c r="R111" t="s">
        <v>237</v>
      </c>
    </row>
    <row r="112" spans="1:18" x14ac:dyDescent="0.25">
      <c r="A112">
        <v>44</v>
      </c>
      <c r="B112" t="s">
        <v>18</v>
      </c>
      <c r="C112">
        <v>7</v>
      </c>
      <c r="D112">
        <v>817</v>
      </c>
      <c r="E112">
        <v>5233</v>
      </c>
      <c r="F112">
        <v>837</v>
      </c>
      <c r="G112">
        <v>6146</v>
      </c>
      <c r="H112">
        <v>852</v>
      </c>
      <c r="I112">
        <v>5091</v>
      </c>
      <c r="P112" t="s">
        <v>238</v>
      </c>
      <c r="Q112">
        <v>20260120</v>
      </c>
      <c r="R112" t="s">
        <v>239</v>
      </c>
    </row>
    <row r="113" spans="1:18" x14ac:dyDescent="0.25">
      <c r="A113">
        <v>44</v>
      </c>
      <c r="B113" t="s">
        <v>21</v>
      </c>
      <c r="C113">
        <v>1</v>
      </c>
      <c r="J113">
        <v>866</v>
      </c>
      <c r="K113">
        <v>4993</v>
      </c>
      <c r="L113">
        <v>922</v>
      </c>
      <c r="M113">
        <v>4537</v>
      </c>
      <c r="N113">
        <v>2</v>
      </c>
      <c r="O113">
        <v>330993</v>
      </c>
      <c r="P113" t="s">
        <v>240</v>
      </c>
      <c r="Q113">
        <v>20260120</v>
      </c>
      <c r="R113" t="s">
        <v>241</v>
      </c>
    </row>
    <row r="114" spans="1:18" x14ac:dyDescent="0.25">
      <c r="A114">
        <v>45</v>
      </c>
      <c r="B114" t="s">
        <v>18</v>
      </c>
      <c r="C114">
        <v>1</v>
      </c>
      <c r="D114">
        <v>148</v>
      </c>
      <c r="E114">
        <v>5512</v>
      </c>
      <c r="F114">
        <v>157</v>
      </c>
      <c r="G114">
        <v>6266</v>
      </c>
      <c r="H114">
        <v>161</v>
      </c>
      <c r="I114">
        <v>5953</v>
      </c>
      <c r="P114" t="s">
        <v>242</v>
      </c>
      <c r="Q114">
        <v>20260120</v>
      </c>
      <c r="R114" t="s">
        <v>243</v>
      </c>
    </row>
    <row r="115" spans="1:18" x14ac:dyDescent="0.25">
      <c r="A115">
        <v>45</v>
      </c>
      <c r="B115" t="s">
        <v>21</v>
      </c>
      <c r="C115">
        <v>1</v>
      </c>
      <c r="J115">
        <v>876</v>
      </c>
      <c r="K115">
        <v>5374</v>
      </c>
      <c r="L115">
        <v>925</v>
      </c>
      <c r="M115">
        <v>4640</v>
      </c>
      <c r="N115">
        <v>2</v>
      </c>
      <c r="O115">
        <v>264840</v>
      </c>
      <c r="P115" t="s">
        <v>244</v>
      </c>
      <c r="Q115">
        <v>20260120</v>
      </c>
      <c r="R115" t="s">
        <v>245</v>
      </c>
    </row>
    <row r="116" spans="1:18" x14ac:dyDescent="0.25">
      <c r="A116">
        <v>46</v>
      </c>
      <c r="B116" t="s">
        <v>21</v>
      </c>
      <c r="C116">
        <v>1</v>
      </c>
      <c r="J116">
        <v>300</v>
      </c>
      <c r="K116">
        <v>6643</v>
      </c>
      <c r="L116">
        <v>360</v>
      </c>
      <c r="M116">
        <v>6991</v>
      </c>
      <c r="N116">
        <v>2</v>
      </c>
      <c r="O116">
        <v>431406</v>
      </c>
      <c r="P116" t="s">
        <v>246</v>
      </c>
      <c r="Q116">
        <v>20260120</v>
      </c>
      <c r="R116" t="s">
        <v>247</v>
      </c>
    </row>
    <row r="117" spans="1:18" x14ac:dyDescent="0.25">
      <c r="A117">
        <v>46</v>
      </c>
      <c r="B117" t="s">
        <v>18</v>
      </c>
      <c r="C117">
        <v>1</v>
      </c>
      <c r="D117">
        <v>454</v>
      </c>
      <c r="E117">
        <v>6835</v>
      </c>
      <c r="F117">
        <v>473</v>
      </c>
      <c r="G117">
        <v>7054</v>
      </c>
      <c r="H117">
        <v>486</v>
      </c>
      <c r="I117">
        <v>6824</v>
      </c>
      <c r="P117" t="s">
        <v>248</v>
      </c>
      <c r="Q117">
        <v>20260120</v>
      </c>
      <c r="R117" t="s">
        <v>249</v>
      </c>
    </row>
    <row r="118" spans="1:18" x14ac:dyDescent="0.25">
      <c r="A118">
        <v>46</v>
      </c>
      <c r="B118" t="s">
        <v>18</v>
      </c>
      <c r="C118">
        <v>2</v>
      </c>
      <c r="D118">
        <v>876</v>
      </c>
      <c r="E118">
        <v>5822</v>
      </c>
      <c r="F118">
        <v>889</v>
      </c>
      <c r="G118">
        <v>6543</v>
      </c>
      <c r="H118">
        <v>899</v>
      </c>
      <c r="I118">
        <v>5306</v>
      </c>
      <c r="P118" t="s">
        <v>250</v>
      </c>
      <c r="Q118">
        <v>20260120</v>
      </c>
      <c r="R118" t="s">
        <v>251</v>
      </c>
    </row>
    <row r="119" spans="1:18" x14ac:dyDescent="0.25">
      <c r="A119">
        <v>46</v>
      </c>
      <c r="B119" t="s">
        <v>18</v>
      </c>
      <c r="C119">
        <v>3</v>
      </c>
      <c r="D119">
        <v>899</v>
      </c>
      <c r="E119">
        <v>5306</v>
      </c>
      <c r="F119">
        <v>910</v>
      </c>
      <c r="G119">
        <v>6390</v>
      </c>
      <c r="H119">
        <v>925</v>
      </c>
      <c r="I119">
        <v>5121</v>
      </c>
      <c r="P119" t="s">
        <v>252</v>
      </c>
      <c r="Q119">
        <v>20260120</v>
      </c>
      <c r="R119" t="s">
        <v>253</v>
      </c>
    </row>
    <row r="120" spans="1:18" x14ac:dyDescent="0.25">
      <c r="A120">
        <v>47</v>
      </c>
      <c r="B120" t="s">
        <v>21</v>
      </c>
      <c r="C120">
        <v>1</v>
      </c>
      <c r="J120">
        <v>302</v>
      </c>
      <c r="K120">
        <v>6985</v>
      </c>
      <c r="L120">
        <v>355</v>
      </c>
      <c r="M120">
        <v>7570</v>
      </c>
      <c r="N120">
        <v>2</v>
      </c>
      <c r="O120">
        <v>426070</v>
      </c>
      <c r="P120" t="s">
        <v>254</v>
      </c>
      <c r="Q120">
        <v>20260120</v>
      </c>
      <c r="R120" t="s">
        <v>255</v>
      </c>
    </row>
    <row r="121" spans="1:18" x14ac:dyDescent="0.25">
      <c r="A121">
        <v>47</v>
      </c>
      <c r="B121" t="s">
        <v>18</v>
      </c>
      <c r="C121">
        <v>1</v>
      </c>
      <c r="D121">
        <v>451</v>
      </c>
      <c r="E121">
        <v>7167</v>
      </c>
      <c r="F121">
        <v>473</v>
      </c>
      <c r="G121">
        <v>7735</v>
      </c>
      <c r="H121">
        <v>491</v>
      </c>
      <c r="I121">
        <v>7065</v>
      </c>
      <c r="P121" t="s">
        <v>256</v>
      </c>
      <c r="Q121">
        <v>20260120</v>
      </c>
      <c r="R121" t="s">
        <v>257</v>
      </c>
    </row>
    <row r="122" spans="1:18" x14ac:dyDescent="0.25">
      <c r="A122">
        <v>47</v>
      </c>
      <c r="B122" t="s">
        <v>21</v>
      </c>
      <c r="C122">
        <v>2</v>
      </c>
      <c r="J122">
        <v>875</v>
      </c>
      <c r="K122">
        <v>5983</v>
      </c>
      <c r="L122">
        <v>918</v>
      </c>
      <c r="M122">
        <v>5616</v>
      </c>
      <c r="N122">
        <v>2</v>
      </c>
      <c r="O122">
        <v>290514</v>
      </c>
      <c r="P122" t="s">
        <v>258</v>
      </c>
      <c r="Q122">
        <v>20260120</v>
      </c>
      <c r="R122" t="s">
        <v>259</v>
      </c>
    </row>
    <row r="123" spans="1:18" x14ac:dyDescent="0.25">
      <c r="A123">
        <v>48</v>
      </c>
      <c r="B123" t="s">
        <v>21</v>
      </c>
      <c r="C123">
        <v>1</v>
      </c>
      <c r="J123">
        <v>302</v>
      </c>
      <c r="K123">
        <v>7433.9999999999991</v>
      </c>
      <c r="L123">
        <v>363</v>
      </c>
      <c r="M123">
        <v>7965.9999999999991</v>
      </c>
      <c r="N123">
        <v>2</v>
      </c>
      <c r="O123">
        <v>598016</v>
      </c>
      <c r="P123" t="s">
        <v>260</v>
      </c>
      <c r="Q123">
        <v>20260120</v>
      </c>
      <c r="R123" t="s">
        <v>261</v>
      </c>
    </row>
    <row r="124" spans="1:18" x14ac:dyDescent="0.25">
      <c r="A124">
        <v>48</v>
      </c>
      <c r="B124" t="s">
        <v>18</v>
      </c>
      <c r="C124">
        <v>1</v>
      </c>
      <c r="D124">
        <v>450</v>
      </c>
      <c r="E124">
        <v>7474.0000000000009</v>
      </c>
      <c r="F124">
        <v>479</v>
      </c>
      <c r="G124">
        <v>8896</v>
      </c>
      <c r="H124">
        <v>491</v>
      </c>
      <c r="I124">
        <v>7451.9999999999991</v>
      </c>
      <c r="P124" t="s">
        <v>262</v>
      </c>
      <c r="Q124">
        <v>20260120</v>
      </c>
      <c r="R124" t="s">
        <v>263</v>
      </c>
    </row>
    <row r="125" spans="1:18" x14ac:dyDescent="0.25">
      <c r="A125">
        <v>48</v>
      </c>
      <c r="B125" t="s">
        <v>21</v>
      </c>
      <c r="C125">
        <v>2</v>
      </c>
      <c r="J125">
        <v>871</v>
      </c>
      <c r="K125">
        <v>6089</v>
      </c>
      <c r="L125">
        <v>914</v>
      </c>
      <c r="M125">
        <v>5697</v>
      </c>
      <c r="N125">
        <v>2</v>
      </c>
      <c r="O125">
        <v>334321</v>
      </c>
      <c r="P125" t="s">
        <v>264</v>
      </c>
      <c r="Q125">
        <v>20260120</v>
      </c>
      <c r="R125" t="s">
        <v>265</v>
      </c>
    </row>
    <row r="126" spans="1:18" x14ac:dyDescent="0.25">
      <c r="A126">
        <v>49</v>
      </c>
      <c r="B126" t="s">
        <v>21</v>
      </c>
      <c r="C126">
        <v>1</v>
      </c>
      <c r="J126">
        <v>301</v>
      </c>
      <c r="K126">
        <v>7505.0000000000009</v>
      </c>
      <c r="L126">
        <v>366</v>
      </c>
      <c r="M126">
        <v>8229</v>
      </c>
      <c r="N126">
        <v>2</v>
      </c>
      <c r="O126">
        <v>726433</v>
      </c>
      <c r="P126" t="s">
        <v>266</v>
      </c>
      <c r="Q126">
        <v>20260120</v>
      </c>
      <c r="R126" t="s">
        <v>267</v>
      </c>
    </row>
    <row r="127" spans="1:18" x14ac:dyDescent="0.25">
      <c r="A127">
        <v>49</v>
      </c>
      <c r="B127" t="s">
        <v>18</v>
      </c>
      <c r="C127">
        <v>1</v>
      </c>
      <c r="D127">
        <v>454</v>
      </c>
      <c r="E127">
        <v>7763</v>
      </c>
      <c r="F127">
        <v>483</v>
      </c>
      <c r="G127">
        <v>10332</v>
      </c>
      <c r="H127">
        <v>496</v>
      </c>
      <c r="I127">
        <v>7575</v>
      </c>
      <c r="P127" t="s">
        <v>268</v>
      </c>
      <c r="Q127">
        <v>20260120</v>
      </c>
      <c r="R127" t="s">
        <v>269</v>
      </c>
    </row>
    <row r="128" spans="1:18" x14ac:dyDescent="0.25">
      <c r="A128">
        <v>49</v>
      </c>
      <c r="B128" t="s">
        <v>21</v>
      </c>
      <c r="C128">
        <v>2</v>
      </c>
      <c r="J128">
        <v>868</v>
      </c>
      <c r="K128">
        <v>6351</v>
      </c>
      <c r="L128">
        <v>911</v>
      </c>
      <c r="M128">
        <v>5943</v>
      </c>
      <c r="N128">
        <v>2</v>
      </c>
      <c r="O128">
        <v>400479</v>
      </c>
      <c r="P128" t="s">
        <v>270</v>
      </c>
      <c r="Q128">
        <v>20260120</v>
      </c>
      <c r="R128" t="s">
        <v>271</v>
      </c>
    </row>
    <row r="129" spans="1:18" x14ac:dyDescent="0.25">
      <c r="A129">
        <v>50</v>
      </c>
      <c r="B129" t="s">
        <v>21</v>
      </c>
      <c r="C129">
        <v>1</v>
      </c>
      <c r="J129">
        <v>296</v>
      </c>
      <c r="K129">
        <v>7229</v>
      </c>
      <c r="L129">
        <v>366</v>
      </c>
      <c r="M129">
        <v>8736</v>
      </c>
      <c r="N129">
        <v>2</v>
      </c>
      <c r="O129">
        <v>848598</v>
      </c>
      <c r="P129" t="s">
        <v>272</v>
      </c>
      <c r="Q129">
        <v>20260120</v>
      </c>
      <c r="R129" t="s">
        <v>273</v>
      </c>
    </row>
    <row r="130" spans="1:18" x14ac:dyDescent="0.25">
      <c r="A130">
        <v>50</v>
      </c>
      <c r="B130" t="s">
        <v>18</v>
      </c>
      <c r="C130">
        <v>1</v>
      </c>
      <c r="D130">
        <v>452</v>
      </c>
      <c r="E130">
        <v>7686</v>
      </c>
      <c r="F130">
        <v>486</v>
      </c>
      <c r="G130">
        <v>11084</v>
      </c>
      <c r="H130">
        <v>501</v>
      </c>
      <c r="I130">
        <v>7630.0000000000009</v>
      </c>
      <c r="P130" t="s">
        <v>274</v>
      </c>
      <c r="Q130">
        <v>20260120</v>
      </c>
      <c r="R130" t="s">
        <v>275</v>
      </c>
    </row>
    <row r="131" spans="1:18" x14ac:dyDescent="0.25">
      <c r="A131">
        <v>50</v>
      </c>
      <c r="B131" t="s">
        <v>18</v>
      </c>
      <c r="C131">
        <v>2</v>
      </c>
      <c r="D131">
        <v>871</v>
      </c>
      <c r="E131">
        <v>6387</v>
      </c>
      <c r="F131">
        <v>891</v>
      </c>
      <c r="G131">
        <v>17124</v>
      </c>
      <c r="H131">
        <v>913</v>
      </c>
      <c r="I131">
        <v>5699</v>
      </c>
      <c r="P131" t="s">
        <v>276</v>
      </c>
      <c r="Q131">
        <v>20260120</v>
      </c>
      <c r="R131" t="s">
        <v>277</v>
      </c>
    </row>
    <row r="132" spans="1:18" x14ac:dyDescent="0.25">
      <c r="A132">
        <v>51</v>
      </c>
      <c r="B132" t="s">
        <v>21</v>
      </c>
      <c r="C132">
        <v>1</v>
      </c>
      <c r="J132">
        <v>300</v>
      </c>
      <c r="K132">
        <v>7549</v>
      </c>
      <c r="L132">
        <v>378</v>
      </c>
      <c r="M132">
        <v>8802</v>
      </c>
      <c r="N132">
        <v>2</v>
      </c>
      <c r="O132">
        <v>1111336</v>
      </c>
      <c r="P132" t="s">
        <v>278</v>
      </c>
      <c r="Q132">
        <v>20260120</v>
      </c>
      <c r="R132" t="s">
        <v>279</v>
      </c>
    </row>
    <row r="133" spans="1:18" x14ac:dyDescent="0.25">
      <c r="A133">
        <v>51</v>
      </c>
      <c r="B133" t="s">
        <v>18</v>
      </c>
      <c r="C133">
        <v>1</v>
      </c>
      <c r="D133">
        <v>458</v>
      </c>
      <c r="E133">
        <v>8090.0000000000009</v>
      </c>
      <c r="F133">
        <v>488</v>
      </c>
      <c r="G133">
        <v>12303</v>
      </c>
      <c r="H133">
        <v>505</v>
      </c>
      <c r="I133">
        <v>7804.0000000000009</v>
      </c>
      <c r="P133" t="s">
        <v>280</v>
      </c>
      <c r="Q133">
        <v>20260120</v>
      </c>
      <c r="R133" t="s">
        <v>281</v>
      </c>
    </row>
    <row r="134" spans="1:18" x14ac:dyDescent="0.25">
      <c r="A134">
        <v>51</v>
      </c>
      <c r="B134" t="s">
        <v>21</v>
      </c>
      <c r="C134">
        <v>2</v>
      </c>
      <c r="J134">
        <v>868</v>
      </c>
      <c r="K134">
        <v>6544</v>
      </c>
      <c r="L134">
        <v>921</v>
      </c>
      <c r="M134">
        <v>5062</v>
      </c>
      <c r="N134">
        <v>2</v>
      </c>
      <c r="O134">
        <v>566752</v>
      </c>
      <c r="P134" t="s">
        <v>282</v>
      </c>
      <c r="Q134">
        <v>20260120</v>
      </c>
      <c r="R134" t="s">
        <v>283</v>
      </c>
    </row>
    <row r="135" spans="1:18" x14ac:dyDescent="0.25">
      <c r="A135">
        <v>52</v>
      </c>
      <c r="B135" t="s">
        <v>18</v>
      </c>
      <c r="C135">
        <v>1</v>
      </c>
      <c r="D135">
        <v>43</v>
      </c>
      <c r="E135">
        <v>3504</v>
      </c>
      <c r="F135">
        <v>54</v>
      </c>
      <c r="G135">
        <v>4698</v>
      </c>
      <c r="H135">
        <v>68</v>
      </c>
      <c r="I135">
        <v>4034</v>
      </c>
      <c r="P135" t="s">
        <v>284</v>
      </c>
      <c r="Q135">
        <v>20260120</v>
      </c>
      <c r="R135" t="s">
        <v>285</v>
      </c>
    </row>
    <row r="136" spans="1:18" x14ac:dyDescent="0.25">
      <c r="A136">
        <v>52</v>
      </c>
      <c r="B136" t="s">
        <v>18</v>
      </c>
      <c r="C136">
        <v>2</v>
      </c>
      <c r="D136">
        <v>116</v>
      </c>
      <c r="E136">
        <v>5224</v>
      </c>
      <c r="F136">
        <v>153</v>
      </c>
      <c r="G136">
        <v>19344</v>
      </c>
      <c r="H136">
        <v>170</v>
      </c>
      <c r="I136">
        <v>4190</v>
      </c>
      <c r="P136" t="s">
        <v>286</v>
      </c>
      <c r="Q136">
        <v>20260120</v>
      </c>
      <c r="R136" t="s">
        <v>287</v>
      </c>
    </row>
    <row r="137" spans="1:18" x14ac:dyDescent="0.25">
      <c r="A137">
        <v>53</v>
      </c>
      <c r="B137" t="s">
        <v>18</v>
      </c>
      <c r="C137">
        <v>1</v>
      </c>
      <c r="D137">
        <v>43</v>
      </c>
      <c r="E137">
        <v>3504</v>
      </c>
      <c r="F137">
        <v>51</v>
      </c>
      <c r="G137">
        <v>4242</v>
      </c>
      <c r="H137">
        <v>61</v>
      </c>
      <c r="I137">
        <v>4047</v>
      </c>
      <c r="P137" t="s">
        <v>288</v>
      </c>
      <c r="Q137">
        <v>20260120</v>
      </c>
      <c r="R137" t="s">
        <v>289</v>
      </c>
    </row>
    <row r="138" spans="1:18" x14ac:dyDescent="0.25">
      <c r="A138">
        <v>53</v>
      </c>
      <c r="B138" t="s">
        <v>18</v>
      </c>
      <c r="C138">
        <v>2</v>
      </c>
      <c r="D138">
        <v>69</v>
      </c>
      <c r="E138">
        <v>3774</v>
      </c>
      <c r="F138">
        <v>81</v>
      </c>
      <c r="G138">
        <v>4220</v>
      </c>
      <c r="H138">
        <v>91</v>
      </c>
      <c r="I138">
        <v>3861</v>
      </c>
      <c r="P138" t="s">
        <v>290</v>
      </c>
      <c r="Q138">
        <v>20260120</v>
      </c>
      <c r="R138" t="s">
        <v>291</v>
      </c>
    </row>
    <row r="139" spans="1:18" x14ac:dyDescent="0.25">
      <c r="A139">
        <v>53</v>
      </c>
      <c r="B139" t="s">
        <v>18</v>
      </c>
      <c r="C139">
        <v>3</v>
      </c>
      <c r="D139">
        <v>120</v>
      </c>
      <c r="E139">
        <v>4986</v>
      </c>
      <c r="F139">
        <v>151</v>
      </c>
      <c r="G139">
        <v>16107</v>
      </c>
      <c r="H139">
        <v>163</v>
      </c>
      <c r="I139">
        <v>4480</v>
      </c>
      <c r="P139" t="s">
        <v>292</v>
      </c>
      <c r="Q139">
        <v>20260120</v>
      </c>
      <c r="R139" t="s">
        <v>293</v>
      </c>
    </row>
    <row r="140" spans="1:18" x14ac:dyDescent="0.25">
      <c r="A140">
        <v>54</v>
      </c>
      <c r="B140" t="s">
        <v>18</v>
      </c>
      <c r="C140">
        <v>1</v>
      </c>
      <c r="D140">
        <v>112</v>
      </c>
      <c r="E140">
        <v>4147</v>
      </c>
      <c r="F140">
        <v>143</v>
      </c>
      <c r="G140">
        <v>10737</v>
      </c>
      <c r="H140">
        <v>156</v>
      </c>
      <c r="I140">
        <v>3928</v>
      </c>
      <c r="P140" t="s">
        <v>294</v>
      </c>
      <c r="Q140">
        <v>20260120</v>
      </c>
      <c r="R140" t="s">
        <v>295</v>
      </c>
    </row>
    <row r="141" spans="1:18" x14ac:dyDescent="0.25">
      <c r="A141">
        <v>55</v>
      </c>
      <c r="B141" t="s">
        <v>18</v>
      </c>
      <c r="C141">
        <v>1</v>
      </c>
      <c r="D141">
        <v>112</v>
      </c>
      <c r="E141">
        <v>3955</v>
      </c>
      <c r="F141">
        <v>136</v>
      </c>
      <c r="G141">
        <v>7150</v>
      </c>
      <c r="H141">
        <v>148</v>
      </c>
      <c r="I141">
        <v>3867</v>
      </c>
      <c r="P141" t="s">
        <v>296</v>
      </c>
      <c r="Q141">
        <v>20260120</v>
      </c>
      <c r="R141" t="s">
        <v>297</v>
      </c>
    </row>
    <row r="142" spans="1:18" x14ac:dyDescent="0.25">
      <c r="A142">
        <v>56</v>
      </c>
      <c r="B142" t="s">
        <v>18</v>
      </c>
      <c r="C142">
        <v>1</v>
      </c>
      <c r="D142">
        <v>114</v>
      </c>
      <c r="E142">
        <v>3830</v>
      </c>
      <c r="F142">
        <v>134</v>
      </c>
      <c r="G142">
        <v>5506</v>
      </c>
      <c r="H142">
        <v>145</v>
      </c>
      <c r="I142">
        <v>3793</v>
      </c>
      <c r="P142" t="s">
        <v>298</v>
      </c>
      <c r="Q142">
        <v>20260120</v>
      </c>
      <c r="R142" t="s">
        <v>299</v>
      </c>
    </row>
    <row r="143" spans="1:18" x14ac:dyDescent="0.25">
      <c r="A143">
        <v>57</v>
      </c>
      <c r="B143" t="s">
        <v>18</v>
      </c>
      <c r="C143">
        <v>1</v>
      </c>
      <c r="D143">
        <v>119</v>
      </c>
      <c r="E143">
        <v>3672</v>
      </c>
      <c r="F143">
        <v>133</v>
      </c>
      <c r="G143">
        <v>4294</v>
      </c>
      <c r="H143">
        <v>141</v>
      </c>
      <c r="I143">
        <v>3681</v>
      </c>
      <c r="P143" t="s">
        <v>300</v>
      </c>
      <c r="Q143">
        <v>20260120</v>
      </c>
      <c r="R143" t="s">
        <v>301</v>
      </c>
    </row>
    <row r="144" spans="1:18" x14ac:dyDescent="0.25">
      <c r="A144">
        <v>58</v>
      </c>
      <c r="B144" t="s">
        <v>18</v>
      </c>
      <c r="C144">
        <v>1</v>
      </c>
      <c r="D144">
        <v>120</v>
      </c>
      <c r="E144">
        <v>3553</v>
      </c>
      <c r="F144">
        <v>133</v>
      </c>
      <c r="G144">
        <v>3762</v>
      </c>
      <c r="H144">
        <v>143</v>
      </c>
      <c r="I144">
        <v>3533</v>
      </c>
      <c r="P144" t="s">
        <v>302</v>
      </c>
      <c r="Q144">
        <v>20260120</v>
      </c>
      <c r="R144" t="s">
        <v>303</v>
      </c>
    </row>
    <row r="145" spans="1:18" x14ac:dyDescent="0.25">
      <c r="A145">
        <v>58</v>
      </c>
      <c r="B145" t="s">
        <v>18</v>
      </c>
      <c r="C145">
        <v>2</v>
      </c>
      <c r="D145">
        <v>422</v>
      </c>
      <c r="E145">
        <v>3348</v>
      </c>
      <c r="F145">
        <v>434</v>
      </c>
      <c r="G145">
        <v>3462</v>
      </c>
      <c r="H145">
        <v>444</v>
      </c>
      <c r="I145">
        <v>3308</v>
      </c>
      <c r="P145" t="s">
        <v>304</v>
      </c>
      <c r="Q145">
        <v>20260120</v>
      </c>
      <c r="R145" t="s">
        <v>305</v>
      </c>
    </row>
    <row r="146" spans="1:18" x14ac:dyDescent="0.25">
      <c r="A146">
        <v>59</v>
      </c>
      <c r="B146" t="s">
        <v>21</v>
      </c>
      <c r="C146">
        <v>1</v>
      </c>
      <c r="J146">
        <v>31</v>
      </c>
      <c r="K146">
        <v>3825</v>
      </c>
      <c r="L146">
        <v>71</v>
      </c>
      <c r="M146">
        <v>4366</v>
      </c>
      <c r="N146">
        <v>2</v>
      </c>
      <c r="O146">
        <v>285370</v>
      </c>
      <c r="P146" t="s">
        <v>306</v>
      </c>
      <c r="Q146">
        <v>20260120</v>
      </c>
      <c r="R146" t="s">
        <v>307</v>
      </c>
    </row>
    <row r="147" spans="1:18" x14ac:dyDescent="0.25">
      <c r="A147">
        <v>59</v>
      </c>
      <c r="B147" t="s">
        <v>18</v>
      </c>
      <c r="C147">
        <v>1</v>
      </c>
      <c r="D147">
        <v>120</v>
      </c>
      <c r="E147">
        <v>4293</v>
      </c>
      <c r="F147">
        <v>142</v>
      </c>
      <c r="G147">
        <v>9454</v>
      </c>
      <c r="H147">
        <v>156</v>
      </c>
      <c r="I147">
        <v>3973</v>
      </c>
      <c r="P147" t="s">
        <v>308</v>
      </c>
      <c r="Q147">
        <v>20260120</v>
      </c>
      <c r="R147" t="s">
        <v>309</v>
      </c>
    </row>
    <row r="148" spans="1:18" x14ac:dyDescent="0.25">
      <c r="A148">
        <v>59</v>
      </c>
      <c r="B148" t="s">
        <v>18</v>
      </c>
      <c r="C148">
        <v>2</v>
      </c>
      <c r="D148">
        <v>419</v>
      </c>
      <c r="E148">
        <v>3824</v>
      </c>
      <c r="F148">
        <v>442</v>
      </c>
      <c r="G148">
        <v>13558</v>
      </c>
      <c r="H148">
        <v>456</v>
      </c>
      <c r="I148">
        <v>3532</v>
      </c>
      <c r="P148" t="s">
        <v>310</v>
      </c>
      <c r="Q148">
        <v>20260120</v>
      </c>
      <c r="R148" t="s">
        <v>311</v>
      </c>
    </row>
    <row r="149" spans="1:18" x14ac:dyDescent="0.25">
      <c r="A149">
        <v>60</v>
      </c>
      <c r="B149" t="s">
        <v>21</v>
      </c>
      <c r="C149">
        <v>1</v>
      </c>
      <c r="J149">
        <v>265</v>
      </c>
      <c r="K149">
        <v>4246</v>
      </c>
      <c r="L149">
        <v>309</v>
      </c>
      <c r="M149">
        <v>4467</v>
      </c>
      <c r="N149">
        <v>2</v>
      </c>
      <c r="O149">
        <v>204177</v>
      </c>
      <c r="P149" t="s">
        <v>312</v>
      </c>
      <c r="Q149">
        <v>20260120</v>
      </c>
      <c r="R149" t="s">
        <v>313</v>
      </c>
    </row>
    <row r="150" spans="1:18" x14ac:dyDescent="0.25">
      <c r="A150">
        <v>60</v>
      </c>
      <c r="B150" t="s">
        <v>18</v>
      </c>
      <c r="C150">
        <v>1</v>
      </c>
      <c r="D150">
        <v>345</v>
      </c>
      <c r="E150">
        <v>4325</v>
      </c>
      <c r="F150">
        <v>362</v>
      </c>
      <c r="G150">
        <v>4411</v>
      </c>
      <c r="H150">
        <v>369</v>
      </c>
      <c r="I150">
        <v>4300</v>
      </c>
      <c r="P150" t="s">
        <v>314</v>
      </c>
      <c r="Q150">
        <v>20260120</v>
      </c>
      <c r="R150" t="s">
        <v>315</v>
      </c>
    </row>
    <row r="151" spans="1:18" x14ac:dyDescent="0.25">
      <c r="A151">
        <v>60</v>
      </c>
      <c r="B151" t="s">
        <v>18</v>
      </c>
      <c r="C151">
        <v>2</v>
      </c>
      <c r="D151">
        <v>581</v>
      </c>
      <c r="E151">
        <v>4347</v>
      </c>
      <c r="F151">
        <v>599</v>
      </c>
      <c r="G151">
        <v>4612</v>
      </c>
      <c r="H151">
        <v>614</v>
      </c>
      <c r="I151">
        <v>4329</v>
      </c>
      <c r="P151" t="s">
        <v>316</v>
      </c>
      <c r="Q151">
        <v>20260120</v>
      </c>
      <c r="R151" t="s">
        <v>317</v>
      </c>
    </row>
    <row r="152" spans="1:18" x14ac:dyDescent="0.25">
      <c r="A152">
        <v>61</v>
      </c>
      <c r="B152" t="s">
        <v>21</v>
      </c>
      <c r="C152">
        <v>1</v>
      </c>
      <c r="J152">
        <v>262</v>
      </c>
      <c r="K152">
        <v>4449</v>
      </c>
      <c r="L152">
        <v>308</v>
      </c>
      <c r="M152">
        <v>4700</v>
      </c>
      <c r="N152">
        <v>2</v>
      </c>
      <c r="O152">
        <v>229925</v>
      </c>
      <c r="P152" t="s">
        <v>318</v>
      </c>
      <c r="Q152">
        <v>20260120</v>
      </c>
      <c r="R152" t="s">
        <v>319</v>
      </c>
    </row>
    <row r="153" spans="1:18" x14ac:dyDescent="0.25">
      <c r="A153">
        <v>61</v>
      </c>
      <c r="B153" t="s">
        <v>18</v>
      </c>
      <c r="C153">
        <v>1</v>
      </c>
      <c r="D153">
        <v>346</v>
      </c>
      <c r="E153">
        <v>4585</v>
      </c>
      <c r="F153">
        <v>361</v>
      </c>
      <c r="G153">
        <v>4857</v>
      </c>
      <c r="H153">
        <v>370</v>
      </c>
      <c r="I153">
        <v>4515</v>
      </c>
      <c r="P153" t="s">
        <v>320</v>
      </c>
      <c r="Q153">
        <v>20260120</v>
      </c>
      <c r="R153" t="s">
        <v>321</v>
      </c>
    </row>
    <row r="154" spans="1:18" x14ac:dyDescent="0.25">
      <c r="A154">
        <v>61</v>
      </c>
      <c r="B154" t="s">
        <v>18</v>
      </c>
      <c r="C154">
        <v>2</v>
      </c>
      <c r="D154">
        <v>581</v>
      </c>
      <c r="E154">
        <v>4578</v>
      </c>
      <c r="F154">
        <v>598</v>
      </c>
      <c r="G154">
        <v>5220</v>
      </c>
      <c r="H154">
        <v>612</v>
      </c>
      <c r="I154">
        <v>4551</v>
      </c>
      <c r="P154" t="s">
        <v>322</v>
      </c>
      <c r="Q154">
        <v>20260120</v>
      </c>
      <c r="R154" t="s">
        <v>323</v>
      </c>
    </row>
    <row r="155" spans="1:18" x14ac:dyDescent="0.25">
      <c r="A155">
        <v>62</v>
      </c>
      <c r="B155" t="s">
        <v>18</v>
      </c>
      <c r="C155">
        <v>1</v>
      </c>
      <c r="D155">
        <v>282</v>
      </c>
      <c r="E155">
        <v>5262</v>
      </c>
      <c r="F155">
        <v>294</v>
      </c>
      <c r="G155">
        <v>7062</v>
      </c>
      <c r="H155">
        <v>306</v>
      </c>
      <c r="I155">
        <v>5159</v>
      </c>
      <c r="P155" t="s">
        <v>324</v>
      </c>
      <c r="Q155">
        <v>20260120</v>
      </c>
      <c r="R155" t="s">
        <v>325</v>
      </c>
    </row>
    <row r="156" spans="1:18" x14ac:dyDescent="0.25">
      <c r="A156">
        <v>62</v>
      </c>
      <c r="B156" t="s">
        <v>18</v>
      </c>
      <c r="C156">
        <v>2</v>
      </c>
      <c r="D156">
        <v>346</v>
      </c>
      <c r="E156">
        <v>4899</v>
      </c>
      <c r="F156">
        <v>364</v>
      </c>
      <c r="G156">
        <v>5648</v>
      </c>
      <c r="H156">
        <v>371</v>
      </c>
      <c r="I156">
        <v>4777</v>
      </c>
      <c r="P156" t="s">
        <v>326</v>
      </c>
      <c r="Q156">
        <v>20260120</v>
      </c>
      <c r="R156" t="s">
        <v>327</v>
      </c>
    </row>
    <row r="157" spans="1:18" x14ac:dyDescent="0.25">
      <c r="A157">
        <v>62</v>
      </c>
      <c r="B157" t="s">
        <v>18</v>
      </c>
      <c r="C157">
        <v>3</v>
      </c>
      <c r="D157">
        <v>581</v>
      </c>
      <c r="E157">
        <v>4809</v>
      </c>
      <c r="F157">
        <v>600</v>
      </c>
      <c r="G157">
        <v>6899</v>
      </c>
      <c r="H157">
        <v>611</v>
      </c>
      <c r="I157">
        <v>4862</v>
      </c>
      <c r="P157" t="s">
        <v>328</v>
      </c>
      <c r="Q157">
        <v>20260120</v>
      </c>
      <c r="R157" t="s">
        <v>329</v>
      </c>
    </row>
    <row r="158" spans="1:18" x14ac:dyDescent="0.25">
      <c r="A158">
        <v>63</v>
      </c>
      <c r="B158" t="s">
        <v>21</v>
      </c>
      <c r="C158">
        <v>1</v>
      </c>
      <c r="J158">
        <v>263</v>
      </c>
      <c r="K158">
        <v>4956</v>
      </c>
      <c r="L158">
        <v>309</v>
      </c>
      <c r="M158">
        <v>5495</v>
      </c>
      <c r="N158">
        <v>2</v>
      </c>
      <c r="O158">
        <v>312809</v>
      </c>
      <c r="P158" t="s">
        <v>330</v>
      </c>
      <c r="Q158">
        <v>20260120</v>
      </c>
      <c r="R158" t="s">
        <v>331</v>
      </c>
    </row>
    <row r="159" spans="1:18" x14ac:dyDescent="0.25">
      <c r="A159">
        <v>63</v>
      </c>
      <c r="B159" t="s">
        <v>18</v>
      </c>
      <c r="C159">
        <v>1</v>
      </c>
      <c r="D159">
        <v>335</v>
      </c>
      <c r="E159">
        <v>5150</v>
      </c>
      <c r="F159">
        <v>343</v>
      </c>
      <c r="G159">
        <v>6233</v>
      </c>
      <c r="H159">
        <v>347</v>
      </c>
      <c r="I159">
        <v>5238</v>
      </c>
      <c r="P159" t="s">
        <v>332</v>
      </c>
      <c r="Q159">
        <v>20260120</v>
      </c>
      <c r="R159" t="s">
        <v>333</v>
      </c>
    </row>
    <row r="160" spans="1:18" x14ac:dyDescent="0.25">
      <c r="A160">
        <v>63</v>
      </c>
      <c r="B160" t="s">
        <v>18</v>
      </c>
      <c r="C160">
        <v>2</v>
      </c>
      <c r="D160">
        <v>348</v>
      </c>
      <c r="E160">
        <v>5244</v>
      </c>
      <c r="F160">
        <v>366</v>
      </c>
      <c r="G160">
        <v>6811</v>
      </c>
      <c r="H160">
        <v>375</v>
      </c>
      <c r="I160">
        <v>4987</v>
      </c>
      <c r="P160" t="s">
        <v>334</v>
      </c>
      <c r="Q160">
        <v>20260120</v>
      </c>
      <c r="R160" t="s">
        <v>335</v>
      </c>
    </row>
    <row r="161" spans="1:18" x14ac:dyDescent="0.25">
      <c r="A161">
        <v>63</v>
      </c>
      <c r="B161" t="s">
        <v>18</v>
      </c>
      <c r="C161">
        <v>3</v>
      </c>
      <c r="D161">
        <v>579</v>
      </c>
      <c r="E161">
        <v>5032</v>
      </c>
      <c r="F161">
        <v>601</v>
      </c>
      <c r="G161">
        <v>9477</v>
      </c>
      <c r="H161">
        <v>616</v>
      </c>
      <c r="I161">
        <v>4806</v>
      </c>
      <c r="P161" t="s">
        <v>336</v>
      </c>
      <c r="Q161">
        <v>20260120</v>
      </c>
      <c r="R161" t="s">
        <v>337</v>
      </c>
    </row>
    <row r="162" spans="1:18" x14ac:dyDescent="0.25">
      <c r="A162">
        <v>64</v>
      </c>
      <c r="B162" t="s">
        <v>21</v>
      </c>
      <c r="C162">
        <v>1</v>
      </c>
      <c r="J162">
        <v>262</v>
      </c>
      <c r="K162">
        <v>4914</v>
      </c>
      <c r="L162">
        <v>311</v>
      </c>
      <c r="M162">
        <v>6045</v>
      </c>
      <c r="N162">
        <v>2</v>
      </c>
      <c r="O162">
        <v>408341</v>
      </c>
      <c r="P162" t="s">
        <v>338</v>
      </c>
      <c r="Q162">
        <v>20260120</v>
      </c>
      <c r="R162" t="s">
        <v>339</v>
      </c>
    </row>
    <row r="163" spans="1:18" x14ac:dyDescent="0.25">
      <c r="A163">
        <v>64</v>
      </c>
      <c r="B163" t="s">
        <v>18</v>
      </c>
      <c r="C163">
        <v>1</v>
      </c>
      <c r="D163">
        <v>351</v>
      </c>
      <c r="E163">
        <v>5546</v>
      </c>
      <c r="F163">
        <v>371</v>
      </c>
      <c r="G163">
        <v>8541</v>
      </c>
      <c r="H163">
        <v>381</v>
      </c>
      <c r="I163">
        <v>5124</v>
      </c>
      <c r="P163" t="s">
        <v>340</v>
      </c>
      <c r="Q163">
        <v>20260120</v>
      </c>
      <c r="R163" t="s">
        <v>341</v>
      </c>
    </row>
    <row r="164" spans="1:18" x14ac:dyDescent="0.25">
      <c r="A164">
        <v>64</v>
      </c>
      <c r="B164" t="s">
        <v>18</v>
      </c>
      <c r="C164">
        <v>2</v>
      </c>
      <c r="D164">
        <v>576</v>
      </c>
      <c r="E164">
        <v>5268</v>
      </c>
      <c r="F164">
        <v>600</v>
      </c>
      <c r="G164">
        <v>13499</v>
      </c>
      <c r="H164">
        <v>611</v>
      </c>
      <c r="I164">
        <v>5042</v>
      </c>
      <c r="P164" t="s">
        <v>342</v>
      </c>
      <c r="Q164">
        <v>20260120</v>
      </c>
      <c r="R164" t="s">
        <v>343</v>
      </c>
    </row>
    <row r="165" spans="1:18" x14ac:dyDescent="0.25">
      <c r="A165">
        <v>65</v>
      </c>
      <c r="B165" t="s">
        <v>21</v>
      </c>
      <c r="C165">
        <v>1</v>
      </c>
      <c r="J165">
        <v>263</v>
      </c>
      <c r="K165">
        <v>5150</v>
      </c>
      <c r="L165">
        <v>314</v>
      </c>
      <c r="M165">
        <v>6672</v>
      </c>
      <c r="N165">
        <v>2</v>
      </c>
      <c r="O165">
        <v>557862</v>
      </c>
      <c r="P165" t="s">
        <v>344</v>
      </c>
      <c r="Q165">
        <v>20260120</v>
      </c>
      <c r="R165" t="s">
        <v>345</v>
      </c>
    </row>
    <row r="166" spans="1:18" x14ac:dyDescent="0.25">
      <c r="A166">
        <v>65</v>
      </c>
      <c r="B166" t="s">
        <v>18</v>
      </c>
      <c r="C166">
        <v>2</v>
      </c>
      <c r="D166">
        <v>355</v>
      </c>
      <c r="E166">
        <v>5921</v>
      </c>
      <c r="F166">
        <v>377</v>
      </c>
      <c r="G166">
        <v>11036</v>
      </c>
      <c r="H166">
        <v>388</v>
      </c>
      <c r="I166">
        <v>5372</v>
      </c>
      <c r="P166" t="s">
        <v>346</v>
      </c>
      <c r="Q166">
        <v>20260120</v>
      </c>
      <c r="R166" t="s">
        <v>347</v>
      </c>
    </row>
    <row r="167" spans="1:18" x14ac:dyDescent="0.25">
      <c r="A167">
        <v>65</v>
      </c>
      <c r="B167" t="s">
        <v>18</v>
      </c>
      <c r="C167">
        <v>3</v>
      </c>
      <c r="D167">
        <v>571</v>
      </c>
      <c r="E167">
        <v>5336</v>
      </c>
      <c r="F167">
        <v>599</v>
      </c>
      <c r="G167">
        <v>17631</v>
      </c>
      <c r="H167">
        <v>613</v>
      </c>
      <c r="I167">
        <v>4837</v>
      </c>
      <c r="P167" t="s">
        <v>348</v>
      </c>
      <c r="Q167">
        <v>20260120</v>
      </c>
      <c r="R167" t="s">
        <v>349</v>
      </c>
    </row>
    <row r="168" spans="1:18" x14ac:dyDescent="0.25">
      <c r="A168">
        <v>66</v>
      </c>
      <c r="B168" t="s">
        <v>21</v>
      </c>
      <c r="C168">
        <v>1</v>
      </c>
      <c r="J168">
        <v>265</v>
      </c>
      <c r="K168">
        <v>5252</v>
      </c>
      <c r="L168">
        <v>332</v>
      </c>
      <c r="M168">
        <v>5766</v>
      </c>
      <c r="N168">
        <v>3</v>
      </c>
      <c r="O168">
        <v>741182</v>
      </c>
      <c r="P168" t="s">
        <v>350</v>
      </c>
      <c r="Q168">
        <v>20260120</v>
      </c>
      <c r="R168" t="s">
        <v>351</v>
      </c>
    </row>
    <row r="169" spans="1:18" x14ac:dyDescent="0.25">
      <c r="A169">
        <v>66</v>
      </c>
      <c r="B169" t="s">
        <v>18</v>
      </c>
      <c r="C169">
        <v>2</v>
      </c>
      <c r="D169">
        <v>361</v>
      </c>
      <c r="E169">
        <v>6205</v>
      </c>
      <c r="F169">
        <v>383</v>
      </c>
      <c r="G169">
        <v>13059</v>
      </c>
      <c r="H169">
        <v>394</v>
      </c>
      <c r="I169">
        <v>5492</v>
      </c>
      <c r="P169" t="s">
        <v>352</v>
      </c>
      <c r="Q169">
        <v>20260120</v>
      </c>
      <c r="R169" t="s">
        <v>353</v>
      </c>
    </row>
    <row r="170" spans="1:18" x14ac:dyDescent="0.25">
      <c r="A170">
        <v>66</v>
      </c>
      <c r="B170" t="s">
        <v>21</v>
      </c>
      <c r="C170">
        <v>2</v>
      </c>
      <c r="J170">
        <v>463</v>
      </c>
      <c r="K170">
        <v>5014</v>
      </c>
      <c r="L170">
        <v>504</v>
      </c>
      <c r="M170">
        <v>5077</v>
      </c>
      <c r="N170">
        <v>2</v>
      </c>
      <c r="O170">
        <v>240407</v>
      </c>
      <c r="P170" t="s">
        <v>354</v>
      </c>
      <c r="Q170">
        <v>20260120</v>
      </c>
      <c r="R170" t="s">
        <v>355</v>
      </c>
    </row>
    <row r="171" spans="1:18" x14ac:dyDescent="0.25">
      <c r="A171">
        <v>66</v>
      </c>
      <c r="B171" t="s">
        <v>18</v>
      </c>
      <c r="C171">
        <v>3</v>
      </c>
      <c r="D171">
        <v>571</v>
      </c>
      <c r="E171">
        <v>5474</v>
      </c>
      <c r="F171">
        <v>598</v>
      </c>
      <c r="G171">
        <v>18428</v>
      </c>
      <c r="H171">
        <v>610</v>
      </c>
      <c r="I171">
        <v>5253</v>
      </c>
      <c r="P171" t="s">
        <v>356</v>
      </c>
      <c r="Q171">
        <v>20260120</v>
      </c>
      <c r="R171" t="s">
        <v>357</v>
      </c>
    </row>
    <row r="172" spans="1:18" x14ac:dyDescent="0.25">
      <c r="A172">
        <v>67</v>
      </c>
      <c r="B172" t="s">
        <v>18</v>
      </c>
      <c r="C172">
        <v>1</v>
      </c>
      <c r="D172">
        <v>564</v>
      </c>
      <c r="E172">
        <v>4445</v>
      </c>
      <c r="F172">
        <v>577</v>
      </c>
      <c r="G172">
        <v>4610</v>
      </c>
      <c r="H172">
        <v>595</v>
      </c>
      <c r="I172">
        <v>4402</v>
      </c>
      <c r="P172" t="s">
        <v>358</v>
      </c>
      <c r="Q172">
        <v>20260120</v>
      </c>
      <c r="R172" t="s">
        <v>359</v>
      </c>
    </row>
    <row r="173" spans="1:18" x14ac:dyDescent="0.25">
      <c r="A173">
        <v>68</v>
      </c>
      <c r="B173" t="s">
        <v>18</v>
      </c>
      <c r="C173">
        <v>1</v>
      </c>
      <c r="D173">
        <v>227</v>
      </c>
      <c r="E173">
        <v>4210</v>
      </c>
      <c r="F173">
        <v>245</v>
      </c>
      <c r="G173">
        <v>5173</v>
      </c>
      <c r="H173">
        <v>257</v>
      </c>
      <c r="I173">
        <v>4716</v>
      </c>
      <c r="P173" t="s">
        <v>360</v>
      </c>
      <c r="Q173">
        <v>20260120</v>
      </c>
      <c r="R173" t="s">
        <v>361</v>
      </c>
    </row>
    <row r="174" spans="1:18" x14ac:dyDescent="0.25">
      <c r="A174">
        <v>68</v>
      </c>
      <c r="B174" t="s">
        <v>18</v>
      </c>
      <c r="C174">
        <v>2</v>
      </c>
      <c r="D174">
        <v>303</v>
      </c>
      <c r="E174">
        <v>4656</v>
      </c>
      <c r="F174">
        <v>316</v>
      </c>
      <c r="G174">
        <v>4822</v>
      </c>
      <c r="H174">
        <v>324</v>
      </c>
      <c r="I174">
        <v>4620</v>
      </c>
      <c r="P174" t="s">
        <v>362</v>
      </c>
      <c r="Q174">
        <v>20260120</v>
      </c>
      <c r="R174" t="s">
        <v>363</v>
      </c>
    </row>
    <row r="175" spans="1:18" x14ac:dyDescent="0.25">
      <c r="A175">
        <v>68</v>
      </c>
      <c r="B175" t="s">
        <v>18</v>
      </c>
      <c r="C175">
        <v>3</v>
      </c>
      <c r="D175">
        <v>562</v>
      </c>
      <c r="E175">
        <v>4604</v>
      </c>
      <c r="F175">
        <v>579</v>
      </c>
      <c r="G175">
        <v>4944</v>
      </c>
      <c r="H175">
        <v>596</v>
      </c>
      <c r="I175">
        <v>4559</v>
      </c>
      <c r="P175" t="s">
        <v>364</v>
      </c>
      <c r="Q175">
        <v>20260120</v>
      </c>
      <c r="R175" t="s">
        <v>365</v>
      </c>
    </row>
    <row r="176" spans="1:18" x14ac:dyDescent="0.25">
      <c r="A176">
        <v>69</v>
      </c>
      <c r="B176" t="s">
        <v>18</v>
      </c>
      <c r="C176">
        <v>1</v>
      </c>
      <c r="D176">
        <v>227</v>
      </c>
      <c r="E176">
        <v>4601</v>
      </c>
      <c r="F176">
        <v>243</v>
      </c>
      <c r="G176">
        <v>6689</v>
      </c>
      <c r="H176">
        <v>255</v>
      </c>
      <c r="I176">
        <v>5118</v>
      </c>
      <c r="P176" t="s">
        <v>366</v>
      </c>
      <c r="Q176">
        <v>20260120</v>
      </c>
      <c r="R176" t="s">
        <v>367</v>
      </c>
    </row>
    <row r="177" spans="1:18" x14ac:dyDescent="0.25">
      <c r="A177">
        <v>69</v>
      </c>
      <c r="B177" t="s">
        <v>18</v>
      </c>
      <c r="C177">
        <v>2</v>
      </c>
      <c r="D177">
        <v>302</v>
      </c>
      <c r="E177">
        <v>4966</v>
      </c>
      <c r="F177">
        <v>316</v>
      </c>
      <c r="G177">
        <v>5557</v>
      </c>
      <c r="H177">
        <v>323</v>
      </c>
      <c r="I177">
        <v>4883</v>
      </c>
      <c r="P177" t="s">
        <v>368</v>
      </c>
      <c r="Q177">
        <v>20260120</v>
      </c>
      <c r="R177" t="s">
        <v>369</v>
      </c>
    </row>
    <row r="178" spans="1:18" x14ac:dyDescent="0.25">
      <c r="A178">
        <v>69</v>
      </c>
      <c r="B178" t="s">
        <v>21</v>
      </c>
      <c r="C178">
        <v>2</v>
      </c>
      <c r="J178">
        <v>562</v>
      </c>
      <c r="K178">
        <v>4934</v>
      </c>
      <c r="L178">
        <v>597</v>
      </c>
      <c r="M178">
        <v>4767</v>
      </c>
      <c r="N178">
        <v>2</v>
      </c>
      <c r="O178">
        <v>194557</v>
      </c>
      <c r="P178" t="s">
        <v>370</v>
      </c>
      <c r="Q178">
        <v>20260120</v>
      </c>
      <c r="R178" t="s">
        <v>371</v>
      </c>
    </row>
    <row r="179" spans="1:18" x14ac:dyDescent="0.25">
      <c r="A179">
        <v>70</v>
      </c>
      <c r="B179" t="s">
        <v>18</v>
      </c>
      <c r="C179">
        <v>1</v>
      </c>
      <c r="D179">
        <v>224</v>
      </c>
      <c r="E179">
        <v>4701</v>
      </c>
      <c r="F179">
        <v>244</v>
      </c>
      <c r="G179">
        <v>9376</v>
      </c>
      <c r="H179">
        <v>256</v>
      </c>
      <c r="I179">
        <v>5514</v>
      </c>
      <c r="P179" t="s">
        <v>372</v>
      </c>
      <c r="Q179">
        <v>20260120</v>
      </c>
      <c r="R179" t="s">
        <v>373</v>
      </c>
    </row>
    <row r="180" spans="1:18" x14ac:dyDescent="0.25">
      <c r="A180">
        <v>70</v>
      </c>
      <c r="B180" t="s">
        <v>18</v>
      </c>
      <c r="C180">
        <v>2</v>
      </c>
      <c r="D180">
        <v>298</v>
      </c>
      <c r="E180">
        <v>5190</v>
      </c>
      <c r="F180">
        <v>317</v>
      </c>
      <c r="G180">
        <v>6569</v>
      </c>
      <c r="H180">
        <v>325</v>
      </c>
      <c r="I180">
        <v>5173</v>
      </c>
      <c r="P180" t="s">
        <v>374</v>
      </c>
      <c r="Q180">
        <v>20260120</v>
      </c>
      <c r="R180" t="s">
        <v>375</v>
      </c>
    </row>
    <row r="181" spans="1:18" x14ac:dyDescent="0.25">
      <c r="A181">
        <v>70</v>
      </c>
      <c r="B181" t="s">
        <v>18</v>
      </c>
      <c r="C181">
        <v>3</v>
      </c>
      <c r="D181">
        <v>561</v>
      </c>
      <c r="E181">
        <v>5372</v>
      </c>
      <c r="F181">
        <v>576</v>
      </c>
      <c r="G181">
        <v>8547</v>
      </c>
      <c r="H181">
        <v>594</v>
      </c>
      <c r="I181">
        <v>5011</v>
      </c>
      <c r="P181" t="s">
        <v>376</v>
      </c>
      <c r="Q181">
        <v>20260120</v>
      </c>
      <c r="R181" t="s">
        <v>377</v>
      </c>
    </row>
    <row r="182" spans="1:18" x14ac:dyDescent="0.25">
      <c r="A182">
        <v>71</v>
      </c>
      <c r="B182" t="s">
        <v>18</v>
      </c>
      <c r="C182">
        <v>1</v>
      </c>
      <c r="D182">
        <v>224</v>
      </c>
      <c r="E182">
        <v>4761</v>
      </c>
      <c r="F182">
        <v>244</v>
      </c>
      <c r="G182">
        <v>14081</v>
      </c>
      <c r="H182">
        <v>259</v>
      </c>
      <c r="I182">
        <v>5786</v>
      </c>
      <c r="P182" t="s">
        <v>378</v>
      </c>
      <c r="Q182">
        <v>20260120</v>
      </c>
      <c r="R182" t="s">
        <v>379</v>
      </c>
    </row>
    <row r="183" spans="1:18" x14ac:dyDescent="0.25">
      <c r="A183">
        <v>71</v>
      </c>
      <c r="B183" t="s">
        <v>18</v>
      </c>
      <c r="C183">
        <v>2</v>
      </c>
      <c r="D183">
        <v>300</v>
      </c>
      <c r="E183">
        <v>5560</v>
      </c>
      <c r="F183">
        <v>320</v>
      </c>
      <c r="G183">
        <v>8098</v>
      </c>
      <c r="H183">
        <v>331</v>
      </c>
      <c r="I183">
        <v>5235</v>
      </c>
      <c r="P183" t="s">
        <v>380</v>
      </c>
      <c r="Q183">
        <v>20260120</v>
      </c>
      <c r="R183" t="s">
        <v>381</v>
      </c>
    </row>
    <row r="184" spans="1:18" x14ac:dyDescent="0.25">
      <c r="A184">
        <v>71</v>
      </c>
      <c r="B184" t="s">
        <v>18</v>
      </c>
      <c r="C184">
        <v>3</v>
      </c>
      <c r="D184">
        <v>552</v>
      </c>
      <c r="E184">
        <v>5358</v>
      </c>
      <c r="F184">
        <v>576</v>
      </c>
      <c r="G184">
        <v>12135</v>
      </c>
      <c r="H184">
        <v>596</v>
      </c>
      <c r="I184">
        <v>4980</v>
      </c>
      <c r="P184" t="s">
        <v>382</v>
      </c>
      <c r="Q184">
        <v>20260120</v>
      </c>
      <c r="R184" t="s">
        <v>383</v>
      </c>
    </row>
    <row r="185" spans="1:18" x14ac:dyDescent="0.25">
      <c r="A185">
        <v>72</v>
      </c>
      <c r="B185" t="s">
        <v>18</v>
      </c>
      <c r="C185">
        <v>1</v>
      </c>
      <c r="D185">
        <v>226</v>
      </c>
      <c r="E185">
        <v>5385</v>
      </c>
      <c r="F185">
        <v>245</v>
      </c>
      <c r="G185">
        <v>21456</v>
      </c>
      <c r="H185">
        <v>261</v>
      </c>
      <c r="I185">
        <v>6729</v>
      </c>
      <c r="P185" t="s">
        <v>384</v>
      </c>
      <c r="Q185">
        <v>20260120</v>
      </c>
      <c r="R185" t="s">
        <v>385</v>
      </c>
    </row>
    <row r="186" spans="1:18" x14ac:dyDescent="0.25">
      <c r="A186">
        <v>72</v>
      </c>
      <c r="B186" t="s">
        <v>18</v>
      </c>
      <c r="C186">
        <v>2</v>
      </c>
      <c r="D186">
        <v>298</v>
      </c>
      <c r="E186">
        <v>6051</v>
      </c>
      <c r="F186">
        <v>325</v>
      </c>
      <c r="G186">
        <v>10590</v>
      </c>
      <c r="H186">
        <v>335</v>
      </c>
      <c r="I186">
        <v>5846</v>
      </c>
      <c r="P186" t="s">
        <v>386</v>
      </c>
      <c r="Q186">
        <v>20260120</v>
      </c>
      <c r="R186" t="s">
        <v>387</v>
      </c>
    </row>
    <row r="187" spans="1:18" x14ac:dyDescent="0.25">
      <c r="A187">
        <v>72</v>
      </c>
      <c r="B187" t="s">
        <v>18</v>
      </c>
      <c r="C187">
        <v>3</v>
      </c>
      <c r="D187">
        <v>552</v>
      </c>
      <c r="E187">
        <v>5886</v>
      </c>
      <c r="F187">
        <v>577</v>
      </c>
      <c r="G187">
        <v>17742</v>
      </c>
      <c r="H187">
        <v>597</v>
      </c>
      <c r="I187">
        <v>5050</v>
      </c>
      <c r="P187" t="s">
        <v>388</v>
      </c>
      <c r="Q187">
        <v>20260120</v>
      </c>
      <c r="R187" t="s">
        <v>389</v>
      </c>
    </row>
    <row r="188" spans="1:18" x14ac:dyDescent="0.25">
      <c r="A188">
        <v>73</v>
      </c>
      <c r="B188" t="s">
        <v>18</v>
      </c>
      <c r="C188">
        <v>1</v>
      </c>
      <c r="D188">
        <v>225</v>
      </c>
      <c r="E188">
        <v>4886</v>
      </c>
      <c r="F188">
        <v>247</v>
      </c>
      <c r="G188">
        <v>21868</v>
      </c>
      <c r="H188">
        <v>266</v>
      </c>
      <c r="I188">
        <v>6637</v>
      </c>
      <c r="P188" t="s">
        <v>390</v>
      </c>
      <c r="Q188">
        <v>20260120</v>
      </c>
      <c r="R188" t="s">
        <v>391</v>
      </c>
    </row>
    <row r="189" spans="1:18" x14ac:dyDescent="0.25">
      <c r="A189">
        <v>73</v>
      </c>
      <c r="B189" t="s">
        <v>18</v>
      </c>
      <c r="C189">
        <v>2</v>
      </c>
      <c r="D189">
        <v>300</v>
      </c>
      <c r="E189">
        <v>6029</v>
      </c>
      <c r="F189">
        <v>327</v>
      </c>
      <c r="G189">
        <v>11227</v>
      </c>
      <c r="H189">
        <v>341</v>
      </c>
      <c r="I189">
        <v>5657</v>
      </c>
      <c r="P189" t="s">
        <v>392</v>
      </c>
      <c r="Q189">
        <v>20260120</v>
      </c>
      <c r="R189" t="s">
        <v>393</v>
      </c>
    </row>
    <row r="190" spans="1:18" x14ac:dyDescent="0.25">
      <c r="A190">
        <v>73</v>
      </c>
      <c r="B190" t="s">
        <v>21</v>
      </c>
      <c r="C190">
        <v>1</v>
      </c>
      <c r="J190">
        <v>422</v>
      </c>
      <c r="K190">
        <v>5162</v>
      </c>
      <c r="L190">
        <v>473</v>
      </c>
      <c r="M190">
        <v>5035</v>
      </c>
      <c r="N190">
        <v>2</v>
      </c>
      <c r="O190">
        <v>293532</v>
      </c>
      <c r="P190" t="s">
        <v>394</v>
      </c>
      <c r="Q190">
        <v>20260120</v>
      </c>
      <c r="R190" t="s">
        <v>395</v>
      </c>
    </row>
    <row r="191" spans="1:18" x14ac:dyDescent="0.25">
      <c r="A191">
        <v>73</v>
      </c>
      <c r="B191" t="s">
        <v>18</v>
      </c>
      <c r="C191">
        <v>3</v>
      </c>
      <c r="D191">
        <v>551</v>
      </c>
      <c r="E191">
        <v>5630</v>
      </c>
      <c r="F191">
        <v>580</v>
      </c>
      <c r="G191">
        <v>18229</v>
      </c>
      <c r="H191">
        <v>597</v>
      </c>
      <c r="I191">
        <v>5077</v>
      </c>
      <c r="P191" t="s">
        <v>396</v>
      </c>
      <c r="Q191">
        <v>20260120</v>
      </c>
      <c r="R191" t="s">
        <v>397</v>
      </c>
    </row>
    <row r="192" spans="1:18" x14ac:dyDescent="0.25">
      <c r="A192">
        <v>74</v>
      </c>
      <c r="B192" t="s">
        <v>21</v>
      </c>
      <c r="C192">
        <v>1</v>
      </c>
      <c r="J192">
        <v>306</v>
      </c>
      <c r="K192">
        <v>4727</v>
      </c>
      <c r="L192">
        <v>337</v>
      </c>
      <c r="M192">
        <v>4863</v>
      </c>
      <c r="N192">
        <v>2</v>
      </c>
      <c r="O192">
        <v>159728</v>
      </c>
      <c r="P192" t="s">
        <v>398</v>
      </c>
      <c r="Q192">
        <v>20260120</v>
      </c>
      <c r="R192" t="s">
        <v>399</v>
      </c>
    </row>
    <row r="193" spans="1:18" x14ac:dyDescent="0.25">
      <c r="A193">
        <v>74</v>
      </c>
      <c r="B193" t="s">
        <v>18</v>
      </c>
      <c r="C193">
        <v>1</v>
      </c>
      <c r="D193">
        <v>374</v>
      </c>
      <c r="E193">
        <v>4748</v>
      </c>
      <c r="F193">
        <v>382</v>
      </c>
      <c r="G193">
        <v>4871</v>
      </c>
      <c r="H193">
        <v>393</v>
      </c>
      <c r="I193">
        <v>4672</v>
      </c>
      <c r="P193" t="s">
        <v>400</v>
      </c>
      <c r="Q193">
        <v>20260120</v>
      </c>
      <c r="R193" t="s">
        <v>401</v>
      </c>
    </row>
    <row r="194" spans="1:18" x14ac:dyDescent="0.25">
      <c r="A194">
        <v>74</v>
      </c>
      <c r="B194" t="s">
        <v>18</v>
      </c>
      <c r="C194">
        <v>2</v>
      </c>
      <c r="D194">
        <v>576</v>
      </c>
      <c r="E194">
        <v>4715</v>
      </c>
      <c r="F194">
        <v>585</v>
      </c>
      <c r="G194">
        <v>4952</v>
      </c>
      <c r="H194">
        <v>595</v>
      </c>
      <c r="I194">
        <v>4649</v>
      </c>
      <c r="P194" t="s">
        <v>402</v>
      </c>
      <c r="Q194">
        <v>20260120</v>
      </c>
      <c r="R194" t="s">
        <v>403</v>
      </c>
    </row>
    <row r="195" spans="1:18" x14ac:dyDescent="0.25">
      <c r="A195">
        <v>75</v>
      </c>
      <c r="B195" t="s">
        <v>21</v>
      </c>
      <c r="C195">
        <v>1</v>
      </c>
      <c r="J195">
        <v>301</v>
      </c>
      <c r="K195">
        <v>4989</v>
      </c>
      <c r="L195">
        <v>336</v>
      </c>
      <c r="M195">
        <v>5163</v>
      </c>
      <c r="N195">
        <v>2</v>
      </c>
      <c r="O195">
        <v>196378</v>
      </c>
      <c r="P195" t="s">
        <v>404</v>
      </c>
      <c r="Q195">
        <v>20260120</v>
      </c>
      <c r="R195" t="s">
        <v>405</v>
      </c>
    </row>
    <row r="196" spans="1:18" x14ac:dyDescent="0.25">
      <c r="A196">
        <v>75</v>
      </c>
      <c r="B196" t="s">
        <v>18</v>
      </c>
      <c r="C196">
        <v>1</v>
      </c>
      <c r="D196">
        <v>371</v>
      </c>
      <c r="E196">
        <v>5061</v>
      </c>
      <c r="F196">
        <v>381</v>
      </c>
      <c r="G196">
        <v>5392</v>
      </c>
      <c r="H196">
        <v>389</v>
      </c>
      <c r="I196">
        <v>4994</v>
      </c>
      <c r="P196" t="s">
        <v>406</v>
      </c>
      <c r="Q196">
        <v>20260120</v>
      </c>
      <c r="R196" t="s">
        <v>407</v>
      </c>
    </row>
    <row r="197" spans="1:18" x14ac:dyDescent="0.25">
      <c r="A197">
        <v>75</v>
      </c>
      <c r="B197" t="s">
        <v>18</v>
      </c>
      <c r="C197">
        <v>2</v>
      </c>
      <c r="D197">
        <v>570</v>
      </c>
      <c r="E197">
        <v>5027</v>
      </c>
      <c r="F197">
        <v>583</v>
      </c>
      <c r="G197">
        <v>5785</v>
      </c>
      <c r="H197">
        <v>594</v>
      </c>
      <c r="I197">
        <v>4970</v>
      </c>
      <c r="P197" t="s">
        <v>408</v>
      </c>
      <c r="Q197">
        <v>20260120</v>
      </c>
      <c r="R197" t="s">
        <v>409</v>
      </c>
    </row>
    <row r="198" spans="1:18" x14ac:dyDescent="0.25">
      <c r="A198">
        <v>76</v>
      </c>
      <c r="B198" t="s">
        <v>21</v>
      </c>
      <c r="C198">
        <v>1</v>
      </c>
      <c r="J198">
        <v>297</v>
      </c>
      <c r="K198">
        <v>5197</v>
      </c>
      <c r="L198">
        <v>336</v>
      </c>
      <c r="M198">
        <v>5494</v>
      </c>
      <c r="N198">
        <v>2</v>
      </c>
      <c r="O198">
        <v>247268</v>
      </c>
      <c r="P198" t="s">
        <v>410</v>
      </c>
      <c r="Q198">
        <v>20260120</v>
      </c>
      <c r="R198" t="s">
        <v>411</v>
      </c>
    </row>
    <row r="199" spans="1:18" x14ac:dyDescent="0.25">
      <c r="A199">
        <v>76</v>
      </c>
      <c r="B199" t="s">
        <v>18</v>
      </c>
      <c r="C199">
        <v>1</v>
      </c>
      <c r="D199">
        <v>369</v>
      </c>
      <c r="E199">
        <v>5320</v>
      </c>
      <c r="F199">
        <v>380</v>
      </c>
      <c r="G199">
        <v>6274</v>
      </c>
      <c r="H199">
        <v>390</v>
      </c>
      <c r="I199">
        <v>5230</v>
      </c>
      <c r="P199" t="s">
        <v>412</v>
      </c>
      <c r="Q199">
        <v>20260120</v>
      </c>
      <c r="R199" t="s">
        <v>413</v>
      </c>
    </row>
    <row r="200" spans="1:18" x14ac:dyDescent="0.25">
      <c r="A200">
        <v>76</v>
      </c>
      <c r="B200" t="s">
        <v>18</v>
      </c>
      <c r="C200">
        <v>2</v>
      </c>
      <c r="D200">
        <v>569</v>
      </c>
      <c r="E200">
        <v>5252</v>
      </c>
      <c r="F200">
        <v>584</v>
      </c>
      <c r="G200">
        <v>7565</v>
      </c>
      <c r="H200">
        <v>597</v>
      </c>
      <c r="I200">
        <v>5158</v>
      </c>
      <c r="P200" t="s">
        <v>414</v>
      </c>
      <c r="Q200">
        <v>20260120</v>
      </c>
      <c r="R200" t="s">
        <v>415</v>
      </c>
    </row>
    <row r="201" spans="1:18" x14ac:dyDescent="0.25">
      <c r="A201">
        <v>77</v>
      </c>
      <c r="B201" t="s">
        <v>21</v>
      </c>
      <c r="C201">
        <v>1</v>
      </c>
      <c r="J201">
        <v>300</v>
      </c>
      <c r="K201">
        <v>5634</v>
      </c>
      <c r="L201">
        <v>335</v>
      </c>
      <c r="M201">
        <v>5971</v>
      </c>
      <c r="N201">
        <v>2</v>
      </c>
      <c r="O201">
        <v>278691</v>
      </c>
      <c r="P201" t="s">
        <v>416</v>
      </c>
      <c r="Q201">
        <v>20260120</v>
      </c>
      <c r="R201" t="s">
        <v>417</v>
      </c>
    </row>
    <row r="202" spans="1:18" x14ac:dyDescent="0.25">
      <c r="A202">
        <v>77</v>
      </c>
      <c r="B202" t="s">
        <v>18</v>
      </c>
      <c r="C202">
        <v>1</v>
      </c>
      <c r="D202">
        <v>370</v>
      </c>
      <c r="E202">
        <v>5795</v>
      </c>
      <c r="F202">
        <v>384</v>
      </c>
      <c r="G202">
        <v>7584</v>
      </c>
      <c r="H202">
        <v>391</v>
      </c>
      <c r="I202">
        <v>5592</v>
      </c>
      <c r="P202" t="s">
        <v>418</v>
      </c>
      <c r="Q202">
        <v>20260120</v>
      </c>
      <c r="R202" t="s">
        <v>419</v>
      </c>
    </row>
    <row r="203" spans="1:18" x14ac:dyDescent="0.25">
      <c r="A203">
        <v>77</v>
      </c>
      <c r="B203" t="s">
        <v>18</v>
      </c>
      <c r="C203">
        <v>2</v>
      </c>
      <c r="D203">
        <v>570</v>
      </c>
      <c r="E203">
        <v>5551</v>
      </c>
      <c r="F203">
        <v>587</v>
      </c>
      <c r="G203">
        <v>10243</v>
      </c>
      <c r="H203">
        <v>597</v>
      </c>
      <c r="I203">
        <v>5474</v>
      </c>
      <c r="P203" t="s">
        <v>420</v>
      </c>
      <c r="Q203">
        <v>20260120</v>
      </c>
      <c r="R203" t="s">
        <v>421</v>
      </c>
    </row>
    <row r="204" spans="1:18" x14ac:dyDescent="0.25">
      <c r="A204">
        <v>78</v>
      </c>
      <c r="B204" t="s">
        <v>21</v>
      </c>
      <c r="C204">
        <v>1</v>
      </c>
      <c r="J204">
        <v>298</v>
      </c>
      <c r="K204">
        <v>5705</v>
      </c>
      <c r="L204">
        <v>346</v>
      </c>
      <c r="M204">
        <v>5770</v>
      </c>
      <c r="N204">
        <v>3</v>
      </c>
      <c r="O204">
        <v>433149</v>
      </c>
      <c r="P204" t="s">
        <v>422</v>
      </c>
      <c r="Q204">
        <v>20260120</v>
      </c>
      <c r="R204" t="s">
        <v>423</v>
      </c>
    </row>
    <row r="205" spans="1:18" x14ac:dyDescent="0.25">
      <c r="A205">
        <v>78</v>
      </c>
      <c r="B205" t="s">
        <v>18</v>
      </c>
      <c r="C205">
        <v>1</v>
      </c>
      <c r="D205">
        <v>370</v>
      </c>
      <c r="E205">
        <v>6019</v>
      </c>
      <c r="F205">
        <v>385</v>
      </c>
      <c r="G205">
        <v>9248</v>
      </c>
      <c r="H205">
        <v>394</v>
      </c>
      <c r="I205">
        <v>5721</v>
      </c>
      <c r="P205" t="s">
        <v>424</v>
      </c>
      <c r="Q205">
        <v>20260120</v>
      </c>
      <c r="R205" t="s">
        <v>425</v>
      </c>
    </row>
    <row r="206" spans="1:18" x14ac:dyDescent="0.25">
      <c r="A206">
        <v>78</v>
      </c>
      <c r="B206" t="s">
        <v>18</v>
      </c>
      <c r="C206">
        <v>2</v>
      </c>
      <c r="D206">
        <v>571</v>
      </c>
      <c r="E206">
        <v>5669</v>
      </c>
      <c r="F206">
        <v>590</v>
      </c>
      <c r="G206">
        <v>13797</v>
      </c>
      <c r="H206">
        <v>601</v>
      </c>
      <c r="I206">
        <v>5543</v>
      </c>
      <c r="P206" t="s">
        <v>426</v>
      </c>
      <c r="Q206">
        <v>20260120</v>
      </c>
      <c r="R206" t="s">
        <v>427</v>
      </c>
    </row>
    <row r="207" spans="1:18" x14ac:dyDescent="0.25">
      <c r="A207">
        <v>79</v>
      </c>
      <c r="B207" t="s">
        <v>21</v>
      </c>
      <c r="C207">
        <v>1</v>
      </c>
      <c r="J207">
        <v>296</v>
      </c>
      <c r="K207">
        <v>5722</v>
      </c>
      <c r="L207">
        <v>346</v>
      </c>
      <c r="M207">
        <v>6285</v>
      </c>
      <c r="N207">
        <v>3</v>
      </c>
      <c r="O207">
        <v>594225</v>
      </c>
      <c r="P207" t="s">
        <v>428</v>
      </c>
      <c r="Q207">
        <v>20260120</v>
      </c>
      <c r="R207" t="s">
        <v>429</v>
      </c>
    </row>
    <row r="208" spans="1:18" x14ac:dyDescent="0.25">
      <c r="A208">
        <v>79</v>
      </c>
      <c r="B208" t="s">
        <v>18</v>
      </c>
      <c r="C208">
        <v>1</v>
      </c>
      <c r="D208">
        <v>368</v>
      </c>
      <c r="E208">
        <v>6456</v>
      </c>
      <c r="F208">
        <v>388</v>
      </c>
      <c r="G208">
        <v>12106</v>
      </c>
      <c r="H208">
        <v>398</v>
      </c>
      <c r="I208">
        <v>6146</v>
      </c>
      <c r="P208" t="s">
        <v>430</v>
      </c>
      <c r="Q208">
        <v>20260120</v>
      </c>
      <c r="R208" t="s">
        <v>431</v>
      </c>
    </row>
    <row r="209" spans="1:18" x14ac:dyDescent="0.25">
      <c r="A209">
        <v>79</v>
      </c>
      <c r="B209" t="s">
        <v>21</v>
      </c>
      <c r="C209">
        <v>2</v>
      </c>
      <c r="J209">
        <v>465</v>
      </c>
      <c r="K209">
        <v>5453</v>
      </c>
      <c r="L209">
        <v>503</v>
      </c>
      <c r="M209">
        <v>5607</v>
      </c>
      <c r="N209">
        <v>2</v>
      </c>
      <c r="O209">
        <v>234574</v>
      </c>
      <c r="P209" t="s">
        <v>432</v>
      </c>
      <c r="Q209">
        <v>20260120</v>
      </c>
      <c r="R209" t="s">
        <v>433</v>
      </c>
    </row>
    <row r="210" spans="1:18" x14ac:dyDescent="0.25">
      <c r="A210">
        <v>79</v>
      </c>
      <c r="B210" t="s">
        <v>18</v>
      </c>
      <c r="C210">
        <v>2</v>
      </c>
      <c r="D210">
        <v>567</v>
      </c>
      <c r="E210">
        <v>5986</v>
      </c>
      <c r="F210">
        <v>588</v>
      </c>
      <c r="G210">
        <v>18484</v>
      </c>
      <c r="H210">
        <v>603</v>
      </c>
      <c r="I210">
        <v>5304</v>
      </c>
      <c r="P210" t="s">
        <v>434</v>
      </c>
      <c r="Q210">
        <v>20260120</v>
      </c>
      <c r="R210" t="s">
        <v>435</v>
      </c>
    </row>
    <row r="211" spans="1:18" x14ac:dyDescent="0.25">
      <c r="A211">
        <v>80</v>
      </c>
      <c r="B211" t="s">
        <v>21</v>
      </c>
      <c r="C211">
        <v>1</v>
      </c>
      <c r="J211">
        <v>294</v>
      </c>
      <c r="K211">
        <v>5762</v>
      </c>
      <c r="L211">
        <v>348</v>
      </c>
      <c r="M211">
        <v>6227</v>
      </c>
      <c r="N211">
        <v>3</v>
      </c>
      <c r="O211">
        <v>658926</v>
      </c>
      <c r="P211" t="s">
        <v>436</v>
      </c>
      <c r="Q211">
        <v>20260120</v>
      </c>
      <c r="R211" t="s">
        <v>437</v>
      </c>
    </row>
    <row r="212" spans="1:18" x14ac:dyDescent="0.25">
      <c r="A212">
        <v>80</v>
      </c>
      <c r="B212" t="s">
        <v>18</v>
      </c>
      <c r="C212">
        <v>1</v>
      </c>
      <c r="D212">
        <v>367</v>
      </c>
      <c r="E212">
        <v>6541</v>
      </c>
      <c r="F212">
        <v>391</v>
      </c>
      <c r="G212">
        <v>12628</v>
      </c>
      <c r="H212">
        <v>401</v>
      </c>
      <c r="I212">
        <v>6066</v>
      </c>
      <c r="P212" t="s">
        <v>438</v>
      </c>
      <c r="Q212">
        <v>20260120</v>
      </c>
      <c r="R212" t="s">
        <v>439</v>
      </c>
    </row>
    <row r="213" spans="1:18" x14ac:dyDescent="0.25">
      <c r="A213">
        <v>80</v>
      </c>
      <c r="B213" t="s">
        <v>21</v>
      </c>
      <c r="C213">
        <v>2</v>
      </c>
      <c r="J213">
        <v>464</v>
      </c>
      <c r="K213">
        <v>5391</v>
      </c>
      <c r="L213">
        <v>503</v>
      </c>
      <c r="M213">
        <v>5625</v>
      </c>
      <c r="N213">
        <v>2</v>
      </c>
      <c r="O213">
        <v>245080</v>
      </c>
      <c r="P213" t="s">
        <v>440</v>
      </c>
      <c r="Q213">
        <v>20260120</v>
      </c>
      <c r="R213" t="s">
        <v>441</v>
      </c>
    </row>
    <row r="214" spans="1:18" x14ac:dyDescent="0.25">
      <c r="A214">
        <v>80</v>
      </c>
      <c r="B214" t="s">
        <v>18</v>
      </c>
      <c r="C214">
        <v>2</v>
      </c>
      <c r="D214">
        <v>564</v>
      </c>
      <c r="E214">
        <v>5914</v>
      </c>
      <c r="F214">
        <v>588</v>
      </c>
      <c r="G214">
        <v>19156</v>
      </c>
      <c r="H214">
        <v>602</v>
      </c>
      <c r="I214">
        <v>5163</v>
      </c>
      <c r="P214" t="s">
        <v>442</v>
      </c>
      <c r="Q214">
        <v>20260120</v>
      </c>
      <c r="R214" t="s">
        <v>443</v>
      </c>
    </row>
    <row r="215" spans="1:18" x14ac:dyDescent="0.25">
      <c r="A215">
        <v>81</v>
      </c>
      <c r="B215" t="s">
        <v>21</v>
      </c>
      <c r="C215">
        <v>1</v>
      </c>
      <c r="J215">
        <v>39</v>
      </c>
      <c r="K215">
        <v>4260</v>
      </c>
      <c r="L215">
        <v>82</v>
      </c>
      <c r="M215">
        <v>4516</v>
      </c>
      <c r="N215">
        <v>2</v>
      </c>
      <c r="O215">
        <v>201186</v>
      </c>
      <c r="P215" t="s">
        <v>444</v>
      </c>
      <c r="Q215">
        <v>20260120</v>
      </c>
      <c r="R215" t="s">
        <v>445</v>
      </c>
    </row>
    <row r="216" spans="1:18" x14ac:dyDescent="0.25">
      <c r="A216">
        <v>81</v>
      </c>
      <c r="B216" t="s">
        <v>18</v>
      </c>
      <c r="C216">
        <v>1</v>
      </c>
      <c r="D216">
        <v>125</v>
      </c>
      <c r="E216">
        <v>4400</v>
      </c>
      <c r="F216">
        <v>135</v>
      </c>
      <c r="G216">
        <v>4503</v>
      </c>
      <c r="H216">
        <v>143</v>
      </c>
      <c r="I216">
        <v>4330</v>
      </c>
      <c r="P216" t="s">
        <v>446</v>
      </c>
      <c r="Q216">
        <v>20260120</v>
      </c>
      <c r="R216" t="s">
        <v>447</v>
      </c>
    </row>
    <row r="217" spans="1:18" x14ac:dyDescent="0.25">
      <c r="A217">
        <v>81</v>
      </c>
      <c r="B217" t="s">
        <v>18</v>
      </c>
      <c r="C217">
        <v>2</v>
      </c>
      <c r="D217">
        <v>359</v>
      </c>
      <c r="E217">
        <v>4394</v>
      </c>
      <c r="F217">
        <v>375</v>
      </c>
      <c r="G217">
        <v>4647</v>
      </c>
      <c r="H217">
        <v>388</v>
      </c>
      <c r="I217">
        <v>4368</v>
      </c>
      <c r="P217" t="s">
        <v>448</v>
      </c>
      <c r="Q217">
        <v>20260120</v>
      </c>
      <c r="R217" t="s">
        <v>449</v>
      </c>
    </row>
    <row r="218" spans="1:18" x14ac:dyDescent="0.25">
      <c r="A218">
        <v>82</v>
      </c>
      <c r="B218" t="s">
        <v>21</v>
      </c>
      <c r="C218">
        <v>1</v>
      </c>
      <c r="J218">
        <v>37</v>
      </c>
      <c r="K218">
        <v>4451</v>
      </c>
      <c r="L218">
        <v>82</v>
      </c>
      <c r="M218">
        <v>4721</v>
      </c>
      <c r="N218">
        <v>2</v>
      </c>
      <c r="O218">
        <v>225315</v>
      </c>
      <c r="P218" t="s">
        <v>450</v>
      </c>
      <c r="Q218">
        <v>20260120</v>
      </c>
      <c r="R218" t="s">
        <v>451</v>
      </c>
    </row>
    <row r="219" spans="1:18" x14ac:dyDescent="0.25">
      <c r="A219">
        <v>82</v>
      </c>
      <c r="B219" t="s">
        <v>18</v>
      </c>
      <c r="C219">
        <v>1</v>
      </c>
      <c r="D219">
        <v>123</v>
      </c>
      <c r="E219">
        <v>4633</v>
      </c>
      <c r="F219">
        <v>136</v>
      </c>
      <c r="G219">
        <v>4858</v>
      </c>
      <c r="H219">
        <v>142</v>
      </c>
      <c r="I219">
        <v>4559</v>
      </c>
      <c r="P219" t="s">
        <v>452</v>
      </c>
      <c r="Q219">
        <v>20260120</v>
      </c>
      <c r="R219" t="s">
        <v>453</v>
      </c>
    </row>
    <row r="220" spans="1:18" x14ac:dyDescent="0.25">
      <c r="A220">
        <v>82</v>
      </c>
      <c r="B220" t="s">
        <v>18</v>
      </c>
      <c r="C220">
        <v>2</v>
      </c>
      <c r="D220">
        <v>358</v>
      </c>
      <c r="E220">
        <v>4633</v>
      </c>
      <c r="F220">
        <v>373</v>
      </c>
      <c r="G220">
        <v>5224</v>
      </c>
      <c r="H220">
        <v>387</v>
      </c>
      <c r="I220">
        <v>4554</v>
      </c>
      <c r="P220" t="s">
        <v>454</v>
      </c>
      <c r="Q220">
        <v>20260120</v>
      </c>
      <c r="R220" t="s">
        <v>455</v>
      </c>
    </row>
    <row r="221" spans="1:18" x14ac:dyDescent="0.25">
      <c r="A221">
        <v>83</v>
      </c>
      <c r="B221" t="s">
        <v>18</v>
      </c>
      <c r="C221">
        <v>1</v>
      </c>
      <c r="D221">
        <v>57</v>
      </c>
      <c r="E221">
        <v>5311</v>
      </c>
      <c r="F221">
        <v>69</v>
      </c>
      <c r="G221">
        <v>7108</v>
      </c>
      <c r="H221">
        <v>79</v>
      </c>
      <c r="I221">
        <v>5305</v>
      </c>
      <c r="P221" t="s">
        <v>456</v>
      </c>
      <c r="Q221">
        <v>20260120</v>
      </c>
      <c r="R221" t="s">
        <v>457</v>
      </c>
    </row>
    <row r="222" spans="1:18" x14ac:dyDescent="0.25">
      <c r="A222">
        <v>83</v>
      </c>
      <c r="B222" t="s">
        <v>18</v>
      </c>
      <c r="C222">
        <v>2</v>
      </c>
      <c r="D222">
        <v>124</v>
      </c>
      <c r="E222">
        <v>4933</v>
      </c>
      <c r="F222">
        <v>138</v>
      </c>
      <c r="G222">
        <v>5729</v>
      </c>
      <c r="H222">
        <v>146</v>
      </c>
      <c r="I222">
        <v>4813</v>
      </c>
      <c r="P222" t="s">
        <v>458</v>
      </c>
      <c r="Q222">
        <v>20260120</v>
      </c>
      <c r="R222" t="s">
        <v>459</v>
      </c>
    </row>
    <row r="223" spans="1:18" x14ac:dyDescent="0.25">
      <c r="A223">
        <v>83</v>
      </c>
      <c r="B223" t="s">
        <v>18</v>
      </c>
      <c r="C223">
        <v>3</v>
      </c>
      <c r="D223">
        <v>357</v>
      </c>
      <c r="E223">
        <v>4894</v>
      </c>
      <c r="F223">
        <v>375</v>
      </c>
      <c r="G223">
        <v>6941</v>
      </c>
      <c r="H223">
        <v>390</v>
      </c>
      <c r="I223">
        <v>4758</v>
      </c>
      <c r="P223" t="s">
        <v>460</v>
      </c>
      <c r="Q223">
        <v>20260120</v>
      </c>
      <c r="R223" t="s">
        <v>461</v>
      </c>
    </row>
    <row r="224" spans="1:18" x14ac:dyDescent="0.25">
      <c r="A224">
        <v>84</v>
      </c>
      <c r="B224" t="s">
        <v>21</v>
      </c>
      <c r="C224">
        <v>1</v>
      </c>
      <c r="J224">
        <v>36</v>
      </c>
      <c r="K224">
        <v>4765</v>
      </c>
      <c r="L224">
        <v>86</v>
      </c>
      <c r="M224">
        <v>5361</v>
      </c>
      <c r="N224">
        <v>2</v>
      </c>
      <c r="O224">
        <v>331077</v>
      </c>
      <c r="P224" t="s">
        <v>462</v>
      </c>
      <c r="Q224">
        <v>20260120</v>
      </c>
      <c r="R224" t="s">
        <v>463</v>
      </c>
    </row>
    <row r="225" spans="1:18" x14ac:dyDescent="0.25">
      <c r="A225">
        <v>84</v>
      </c>
      <c r="B225" t="s">
        <v>18</v>
      </c>
      <c r="C225">
        <v>1</v>
      </c>
      <c r="D225">
        <v>110</v>
      </c>
      <c r="E225">
        <v>5109</v>
      </c>
      <c r="F225">
        <v>117</v>
      </c>
      <c r="G225">
        <v>6254</v>
      </c>
      <c r="H225">
        <v>122</v>
      </c>
      <c r="I225">
        <v>5202</v>
      </c>
      <c r="P225" t="s">
        <v>464</v>
      </c>
      <c r="Q225">
        <v>20260120</v>
      </c>
      <c r="R225" t="s">
        <v>465</v>
      </c>
    </row>
    <row r="226" spans="1:18" x14ac:dyDescent="0.25">
      <c r="A226">
        <v>84</v>
      </c>
      <c r="B226" t="s">
        <v>18</v>
      </c>
      <c r="C226">
        <v>2</v>
      </c>
      <c r="D226">
        <v>126</v>
      </c>
      <c r="E226">
        <v>5293</v>
      </c>
      <c r="F226">
        <v>142</v>
      </c>
      <c r="G226">
        <v>6769</v>
      </c>
      <c r="H226">
        <v>150</v>
      </c>
      <c r="I226">
        <v>4946</v>
      </c>
      <c r="P226" t="s">
        <v>466</v>
      </c>
      <c r="Q226">
        <v>20260120</v>
      </c>
      <c r="R226" t="s">
        <v>467</v>
      </c>
    </row>
    <row r="227" spans="1:18" x14ac:dyDescent="0.25">
      <c r="A227">
        <v>84</v>
      </c>
      <c r="B227" t="s">
        <v>18</v>
      </c>
      <c r="C227">
        <v>3</v>
      </c>
      <c r="D227">
        <v>356</v>
      </c>
      <c r="E227">
        <v>5078</v>
      </c>
      <c r="F227">
        <v>377</v>
      </c>
      <c r="G227">
        <v>9456</v>
      </c>
      <c r="H227">
        <v>388</v>
      </c>
      <c r="I227">
        <v>4937</v>
      </c>
      <c r="P227" t="s">
        <v>468</v>
      </c>
      <c r="Q227">
        <v>20260120</v>
      </c>
      <c r="R227" t="s">
        <v>469</v>
      </c>
    </row>
    <row r="228" spans="1:18" x14ac:dyDescent="0.25">
      <c r="A228">
        <v>85</v>
      </c>
      <c r="B228" t="s">
        <v>21</v>
      </c>
      <c r="C228">
        <v>1</v>
      </c>
      <c r="J228">
        <v>35</v>
      </c>
      <c r="K228">
        <v>4862</v>
      </c>
      <c r="L228">
        <v>87</v>
      </c>
      <c r="M228">
        <v>5903</v>
      </c>
      <c r="N228">
        <v>2</v>
      </c>
      <c r="O228">
        <v>426640</v>
      </c>
      <c r="P228" t="s">
        <v>470</v>
      </c>
      <c r="Q228">
        <v>20260120</v>
      </c>
      <c r="R228" t="s">
        <v>471</v>
      </c>
    </row>
    <row r="229" spans="1:18" x14ac:dyDescent="0.25">
      <c r="A229">
        <v>85</v>
      </c>
      <c r="B229" t="s">
        <v>18</v>
      </c>
      <c r="C229">
        <v>1</v>
      </c>
      <c r="D229">
        <v>126</v>
      </c>
      <c r="E229">
        <v>5590</v>
      </c>
      <c r="F229">
        <v>147</v>
      </c>
      <c r="G229">
        <v>8520</v>
      </c>
      <c r="H229">
        <v>156</v>
      </c>
      <c r="I229">
        <v>5157</v>
      </c>
      <c r="P229" t="s">
        <v>472</v>
      </c>
      <c r="Q229">
        <v>20260120</v>
      </c>
      <c r="R229" t="s">
        <v>473</v>
      </c>
    </row>
    <row r="230" spans="1:18" x14ac:dyDescent="0.25">
      <c r="A230">
        <v>85</v>
      </c>
      <c r="B230" t="s">
        <v>18</v>
      </c>
      <c r="C230">
        <v>2</v>
      </c>
      <c r="D230">
        <v>352</v>
      </c>
      <c r="E230">
        <v>5362</v>
      </c>
      <c r="F230">
        <v>375</v>
      </c>
      <c r="G230">
        <v>13537</v>
      </c>
      <c r="H230">
        <v>387</v>
      </c>
      <c r="I230">
        <v>4927</v>
      </c>
      <c r="P230" t="s">
        <v>474</v>
      </c>
      <c r="Q230">
        <v>20260120</v>
      </c>
      <c r="R230" t="s">
        <v>475</v>
      </c>
    </row>
    <row r="231" spans="1:18" x14ac:dyDescent="0.25">
      <c r="A231">
        <v>86</v>
      </c>
      <c r="B231" t="s">
        <v>21</v>
      </c>
      <c r="C231">
        <v>1</v>
      </c>
      <c r="J231">
        <v>37</v>
      </c>
      <c r="K231">
        <v>5019</v>
      </c>
      <c r="L231">
        <v>91</v>
      </c>
      <c r="M231">
        <v>6373</v>
      </c>
      <c r="N231">
        <v>2</v>
      </c>
      <c r="O231">
        <v>576021</v>
      </c>
      <c r="P231" t="s">
        <v>476</v>
      </c>
      <c r="Q231">
        <v>20260120</v>
      </c>
      <c r="R231" t="s">
        <v>477</v>
      </c>
    </row>
    <row r="232" spans="1:18" x14ac:dyDescent="0.25">
      <c r="A232">
        <v>86</v>
      </c>
      <c r="B232" t="s">
        <v>18</v>
      </c>
      <c r="C232">
        <v>1</v>
      </c>
      <c r="D232">
        <v>129</v>
      </c>
      <c r="E232">
        <v>5847</v>
      </c>
      <c r="F232">
        <v>152</v>
      </c>
      <c r="G232">
        <v>11031</v>
      </c>
      <c r="H232">
        <v>162</v>
      </c>
      <c r="I232">
        <v>5536</v>
      </c>
      <c r="P232" t="s">
        <v>478</v>
      </c>
      <c r="Q232">
        <v>20260120</v>
      </c>
      <c r="R232" t="s">
        <v>479</v>
      </c>
    </row>
    <row r="233" spans="1:18" x14ac:dyDescent="0.25">
      <c r="A233">
        <v>86</v>
      </c>
      <c r="B233" t="s">
        <v>18</v>
      </c>
      <c r="C233">
        <v>2</v>
      </c>
      <c r="D233">
        <v>348</v>
      </c>
      <c r="E233">
        <v>5486</v>
      </c>
      <c r="F233">
        <v>374</v>
      </c>
      <c r="G233">
        <v>17629</v>
      </c>
      <c r="H233">
        <v>388</v>
      </c>
      <c r="I233">
        <v>4829</v>
      </c>
      <c r="P233" t="s">
        <v>480</v>
      </c>
      <c r="Q233">
        <v>20260120</v>
      </c>
      <c r="R233" t="s">
        <v>481</v>
      </c>
    </row>
    <row r="234" spans="1:18" x14ac:dyDescent="0.25">
      <c r="A234">
        <v>87</v>
      </c>
      <c r="B234" t="s">
        <v>21</v>
      </c>
      <c r="C234">
        <v>1</v>
      </c>
      <c r="J234">
        <v>40</v>
      </c>
      <c r="K234">
        <v>5290</v>
      </c>
      <c r="L234">
        <v>93</v>
      </c>
      <c r="M234">
        <v>6953</v>
      </c>
      <c r="N234">
        <v>2</v>
      </c>
      <c r="O234">
        <v>653182</v>
      </c>
      <c r="P234" t="s">
        <v>482</v>
      </c>
      <c r="Q234">
        <v>20260120</v>
      </c>
      <c r="R234" t="s">
        <v>483</v>
      </c>
    </row>
    <row r="235" spans="1:18" x14ac:dyDescent="0.25">
      <c r="A235">
        <v>87</v>
      </c>
      <c r="B235" t="s">
        <v>18</v>
      </c>
      <c r="C235">
        <v>1</v>
      </c>
      <c r="D235">
        <v>137</v>
      </c>
      <c r="E235">
        <v>6371</v>
      </c>
      <c r="F235">
        <v>159</v>
      </c>
      <c r="G235">
        <v>12933</v>
      </c>
      <c r="H235">
        <v>169</v>
      </c>
      <c r="I235">
        <v>5528</v>
      </c>
      <c r="P235" t="s">
        <v>484</v>
      </c>
      <c r="Q235">
        <v>20260120</v>
      </c>
      <c r="R235" t="s">
        <v>485</v>
      </c>
    </row>
    <row r="236" spans="1:18" x14ac:dyDescent="0.25">
      <c r="A236">
        <v>87</v>
      </c>
      <c r="B236" t="s">
        <v>18</v>
      </c>
      <c r="C236">
        <v>2</v>
      </c>
      <c r="D236">
        <v>346</v>
      </c>
      <c r="E236">
        <v>5510</v>
      </c>
      <c r="F236">
        <v>373</v>
      </c>
      <c r="G236">
        <v>18460</v>
      </c>
      <c r="H236">
        <v>385</v>
      </c>
      <c r="I236">
        <v>5293</v>
      </c>
      <c r="P236" t="s">
        <v>486</v>
      </c>
      <c r="Q236">
        <v>20260120</v>
      </c>
      <c r="R236" t="s">
        <v>487</v>
      </c>
    </row>
    <row r="237" spans="1:18" x14ac:dyDescent="0.25">
      <c r="A237">
        <v>88</v>
      </c>
      <c r="B237" t="s">
        <v>18</v>
      </c>
      <c r="C237">
        <v>1</v>
      </c>
      <c r="D237">
        <v>352</v>
      </c>
      <c r="E237">
        <v>4466</v>
      </c>
      <c r="F237">
        <v>367</v>
      </c>
      <c r="G237">
        <v>4639</v>
      </c>
      <c r="H237">
        <v>380</v>
      </c>
      <c r="I237">
        <v>4442</v>
      </c>
      <c r="P237" t="s">
        <v>488</v>
      </c>
      <c r="Q237">
        <v>20260120</v>
      </c>
      <c r="R237" t="s">
        <v>489</v>
      </c>
    </row>
    <row r="238" spans="1:18" x14ac:dyDescent="0.25">
      <c r="A238">
        <v>89</v>
      </c>
      <c r="B238" t="s">
        <v>21</v>
      </c>
      <c r="C238">
        <v>1</v>
      </c>
      <c r="J238">
        <v>19</v>
      </c>
      <c r="K238">
        <v>4281</v>
      </c>
      <c r="L238">
        <v>45</v>
      </c>
      <c r="M238">
        <v>4757</v>
      </c>
      <c r="N238">
        <v>2</v>
      </c>
      <c r="O238">
        <v>131454</v>
      </c>
      <c r="P238" t="s">
        <v>490</v>
      </c>
      <c r="Q238">
        <v>20260120</v>
      </c>
      <c r="R238" t="s">
        <v>491</v>
      </c>
    </row>
    <row r="239" spans="1:18" x14ac:dyDescent="0.25">
      <c r="A239">
        <v>89</v>
      </c>
      <c r="B239" t="s">
        <v>18</v>
      </c>
      <c r="C239">
        <v>1</v>
      </c>
      <c r="D239">
        <v>94</v>
      </c>
      <c r="E239">
        <v>4682</v>
      </c>
      <c r="F239">
        <v>108</v>
      </c>
      <c r="G239">
        <v>4789</v>
      </c>
      <c r="H239">
        <v>112</v>
      </c>
      <c r="I239">
        <v>4627</v>
      </c>
      <c r="P239" t="s">
        <v>492</v>
      </c>
      <c r="Q239">
        <v>20260120</v>
      </c>
      <c r="R239" t="s">
        <v>493</v>
      </c>
    </row>
    <row r="240" spans="1:18" x14ac:dyDescent="0.25">
      <c r="A240">
        <v>89</v>
      </c>
      <c r="B240" t="s">
        <v>18</v>
      </c>
      <c r="C240">
        <v>2</v>
      </c>
      <c r="D240">
        <v>353</v>
      </c>
      <c r="E240">
        <v>4635</v>
      </c>
      <c r="F240">
        <v>368</v>
      </c>
      <c r="G240">
        <v>4974</v>
      </c>
      <c r="H240">
        <v>379</v>
      </c>
      <c r="I240">
        <v>4703</v>
      </c>
      <c r="P240" t="s">
        <v>494</v>
      </c>
      <c r="Q240">
        <v>20260120</v>
      </c>
      <c r="R240" t="s">
        <v>495</v>
      </c>
    </row>
    <row r="241" spans="1:18" x14ac:dyDescent="0.25">
      <c r="A241">
        <v>90</v>
      </c>
      <c r="B241" t="s">
        <v>21</v>
      </c>
      <c r="C241">
        <v>1</v>
      </c>
      <c r="J241">
        <v>17</v>
      </c>
      <c r="K241">
        <v>4635</v>
      </c>
      <c r="L241">
        <v>45</v>
      </c>
      <c r="M241">
        <v>5161</v>
      </c>
      <c r="N241">
        <v>2</v>
      </c>
      <c r="O241">
        <v>166537</v>
      </c>
      <c r="P241" t="s">
        <v>496</v>
      </c>
      <c r="Q241">
        <v>20260120</v>
      </c>
      <c r="R241" t="s">
        <v>497</v>
      </c>
    </row>
    <row r="242" spans="1:18" x14ac:dyDescent="0.25">
      <c r="A242">
        <v>90</v>
      </c>
      <c r="B242" t="s">
        <v>18</v>
      </c>
      <c r="C242">
        <v>1</v>
      </c>
      <c r="D242">
        <v>92</v>
      </c>
      <c r="E242">
        <v>5003</v>
      </c>
      <c r="F242">
        <v>106</v>
      </c>
      <c r="G242">
        <v>5596</v>
      </c>
      <c r="H242">
        <v>113</v>
      </c>
      <c r="I242">
        <v>4932</v>
      </c>
      <c r="P242" t="s">
        <v>498</v>
      </c>
      <c r="Q242">
        <v>20260120</v>
      </c>
      <c r="R242" t="s">
        <v>499</v>
      </c>
    </row>
    <row r="243" spans="1:18" x14ac:dyDescent="0.25">
      <c r="A243">
        <v>90</v>
      </c>
      <c r="B243" t="s">
        <v>18</v>
      </c>
      <c r="C243">
        <v>2</v>
      </c>
      <c r="D243">
        <v>349</v>
      </c>
      <c r="E243">
        <v>4878</v>
      </c>
      <c r="F243">
        <v>367</v>
      </c>
      <c r="G243">
        <v>6188</v>
      </c>
      <c r="H243">
        <v>383</v>
      </c>
      <c r="I243">
        <v>4964</v>
      </c>
      <c r="P243" t="s">
        <v>500</v>
      </c>
      <c r="Q243">
        <v>20260120</v>
      </c>
      <c r="R243" t="s">
        <v>501</v>
      </c>
    </row>
    <row r="244" spans="1:18" x14ac:dyDescent="0.25">
      <c r="A244">
        <v>91</v>
      </c>
      <c r="B244" t="s">
        <v>18</v>
      </c>
      <c r="C244">
        <v>1</v>
      </c>
      <c r="D244">
        <v>15</v>
      </c>
      <c r="E244">
        <v>4757</v>
      </c>
      <c r="F244">
        <v>33</v>
      </c>
      <c r="G244">
        <v>9527</v>
      </c>
      <c r="H244">
        <v>46</v>
      </c>
      <c r="I244">
        <v>5468</v>
      </c>
      <c r="P244" t="s">
        <v>502</v>
      </c>
      <c r="Q244">
        <v>20260120</v>
      </c>
      <c r="R244" t="s">
        <v>503</v>
      </c>
    </row>
    <row r="245" spans="1:18" x14ac:dyDescent="0.25">
      <c r="A245">
        <v>91</v>
      </c>
      <c r="B245" t="s">
        <v>18</v>
      </c>
      <c r="C245">
        <v>2</v>
      </c>
      <c r="D245">
        <v>91</v>
      </c>
      <c r="E245">
        <v>5217</v>
      </c>
      <c r="F245">
        <v>108</v>
      </c>
      <c r="G245">
        <v>6508</v>
      </c>
      <c r="H245">
        <v>115</v>
      </c>
      <c r="I245">
        <v>5128</v>
      </c>
      <c r="P245" t="s">
        <v>504</v>
      </c>
      <c r="Q245">
        <v>20260120</v>
      </c>
      <c r="R245" t="s">
        <v>505</v>
      </c>
    </row>
    <row r="246" spans="1:18" x14ac:dyDescent="0.25">
      <c r="A246">
        <v>91</v>
      </c>
      <c r="B246" t="s">
        <v>18</v>
      </c>
      <c r="C246">
        <v>3</v>
      </c>
      <c r="D246">
        <v>350</v>
      </c>
      <c r="E246">
        <v>5257</v>
      </c>
      <c r="F246">
        <v>367</v>
      </c>
      <c r="G246">
        <v>8397</v>
      </c>
      <c r="H246">
        <v>380</v>
      </c>
      <c r="I246">
        <v>5261</v>
      </c>
      <c r="P246" t="s">
        <v>506</v>
      </c>
      <c r="Q246">
        <v>20260120</v>
      </c>
      <c r="R246" t="s">
        <v>507</v>
      </c>
    </row>
    <row r="247" spans="1:18" x14ac:dyDescent="0.25">
      <c r="A247">
        <v>92</v>
      </c>
      <c r="B247" t="s">
        <v>18</v>
      </c>
      <c r="C247">
        <v>1</v>
      </c>
      <c r="D247">
        <v>15</v>
      </c>
      <c r="E247">
        <v>4888</v>
      </c>
      <c r="F247">
        <v>34</v>
      </c>
      <c r="G247">
        <v>14126</v>
      </c>
      <c r="H247">
        <v>46</v>
      </c>
      <c r="I247">
        <v>6250</v>
      </c>
      <c r="P247" t="s">
        <v>508</v>
      </c>
      <c r="Q247">
        <v>20260120</v>
      </c>
      <c r="R247" t="s">
        <v>509</v>
      </c>
    </row>
    <row r="248" spans="1:18" x14ac:dyDescent="0.25">
      <c r="A248">
        <v>93</v>
      </c>
      <c r="B248" t="s">
        <v>18</v>
      </c>
      <c r="C248">
        <v>1</v>
      </c>
      <c r="D248">
        <v>91</v>
      </c>
      <c r="E248">
        <v>6205</v>
      </c>
      <c r="F248">
        <v>114</v>
      </c>
      <c r="G248">
        <v>10626</v>
      </c>
      <c r="H248">
        <v>125</v>
      </c>
      <c r="I248">
        <v>5842</v>
      </c>
      <c r="P248" t="s">
        <v>510</v>
      </c>
      <c r="Q248">
        <v>20260120</v>
      </c>
      <c r="R248" t="s">
        <v>511</v>
      </c>
    </row>
    <row r="249" spans="1:18" x14ac:dyDescent="0.25">
      <c r="A249">
        <v>93</v>
      </c>
      <c r="B249" t="s">
        <v>18</v>
      </c>
      <c r="C249">
        <v>2</v>
      </c>
      <c r="D249">
        <v>343</v>
      </c>
      <c r="E249">
        <v>5991</v>
      </c>
      <c r="F249">
        <v>368</v>
      </c>
      <c r="G249">
        <v>17652</v>
      </c>
      <c r="H249">
        <v>384</v>
      </c>
      <c r="I249">
        <v>5456</v>
      </c>
      <c r="P249" t="s">
        <v>512</v>
      </c>
      <c r="Q249">
        <v>20260120</v>
      </c>
      <c r="R249" t="s">
        <v>513</v>
      </c>
    </row>
    <row r="250" spans="1:18" x14ac:dyDescent="0.25">
      <c r="A250">
        <v>94</v>
      </c>
      <c r="B250" t="s">
        <v>18</v>
      </c>
      <c r="C250">
        <v>1</v>
      </c>
      <c r="D250">
        <v>17</v>
      </c>
      <c r="E250">
        <v>5241</v>
      </c>
      <c r="F250">
        <v>38</v>
      </c>
      <c r="G250">
        <v>21735</v>
      </c>
      <c r="H250">
        <v>52</v>
      </c>
      <c r="I250">
        <v>7172</v>
      </c>
      <c r="P250" t="s">
        <v>514</v>
      </c>
      <c r="Q250">
        <v>20260120</v>
      </c>
      <c r="R250" t="s">
        <v>515</v>
      </c>
    </row>
    <row r="251" spans="1:18" x14ac:dyDescent="0.25">
      <c r="A251">
        <v>94</v>
      </c>
      <c r="B251" t="s">
        <v>18</v>
      </c>
      <c r="C251">
        <v>2</v>
      </c>
      <c r="D251">
        <v>91</v>
      </c>
      <c r="E251">
        <v>6135</v>
      </c>
      <c r="F251">
        <v>118</v>
      </c>
      <c r="G251">
        <v>11283</v>
      </c>
      <c r="H251">
        <v>131</v>
      </c>
      <c r="I251">
        <v>5701</v>
      </c>
      <c r="P251" t="s">
        <v>516</v>
      </c>
      <c r="Q251">
        <v>20260120</v>
      </c>
      <c r="R251" t="s">
        <v>517</v>
      </c>
    </row>
    <row r="252" spans="1:18" x14ac:dyDescent="0.25">
      <c r="A252">
        <v>94</v>
      </c>
      <c r="B252" t="s">
        <v>18</v>
      </c>
      <c r="C252">
        <v>3</v>
      </c>
      <c r="D252">
        <v>344</v>
      </c>
      <c r="E252">
        <v>6004</v>
      </c>
      <c r="F252">
        <v>369</v>
      </c>
      <c r="G252">
        <v>18331</v>
      </c>
      <c r="H252">
        <v>388</v>
      </c>
      <c r="I252">
        <v>4944</v>
      </c>
      <c r="P252" t="s">
        <v>518</v>
      </c>
      <c r="Q252">
        <v>20260120</v>
      </c>
      <c r="R252" t="s">
        <v>519</v>
      </c>
    </row>
    <row r="253" spans="1:18" x14ac:dyDescent="0.25">
      <c r="A253">
        <v>95</v>
      </c>
      <c r="B253" t="s">
        <v>18</v>
      </c>
      <c r="C253">
        <v>1</v>
      </c>
      <c r="D253">
        <v>145</v>
      </c>
      <c r="E253">
        <v>2485</v>
      </c>
      <c r="F253">
        <v>157</v>
      </c>
      <c r="G253">
        <v>4195</v>
      </c>
      <c r="H253">
        <v>172</v>
      </c>
      <c r="I253">
        <v>3420</v>
      </c>
      <c r="P253" t="s">
        <v>520</v>
      </c>
      <c r="Q253">
        <v>20260120</v>
      </c>
      <c r="R253" t="s">
        <v>521</v>
      </c>
    </row>
    <row r="254" spans="1:18" x14ac:dyDescent="0.25">
      <c r="A254">
        <v>95</v>
      </c>
      <c r="B254" t="s">
        <v>21</v>
      </c>
      <c r="C254">
        <v>1</v>
      </c>
      <c r="J254">
        <v>263</v>
      </c>
      <c r="K254">
        <v>3215</v>
      </c>
      <c r="L254">
        <v>338</v>
      </c>
      <c r="M254">
        <v>3466</v>
      </c>
      <c r="N254">
        <v>2</v>
      </c>
      <c r="O254">
        <v>391596</v>
      </c>
      <c r="P254" t="s">
        <v>522</v>
      </c>
      <c r="Q254">
        <v>20260120</v>
      </c>
      <c r="R254" t="s">
        <v>523</v>
      </c>
    </row>
    <row r="255" spans="1:18" x14ac:dyDescent="0.25">
      <c r="A255">
        <v>95</v>
      </c>
      <c r="B255" t="s">
        <v>18</v>
      </c>
      <c r="C255">
        <v>2</v>
      </c>
      <c r="D255">
        <v>414</v>
      </c>
      <c r="E255">
        <v>2745</v>
      </c>
      <c r="F255">
        <v>423</v>
      </c>
      <c r="G255">
        <v>3722</v>
      </c>
      <c r="H255">
        <v>432</v>
      </c>
      <c r="I255">
        <v>2979</v>
      </c>
      <c r="P255" t="s">
        <v>524</v>
      </c>
      <c r="Q255">
        <v>20260120</v>
      </c>
      <c r="R255" t="s">
        <v>525</v>
      </c>
    </row>
    <row r="256" spans="1:18" x14ac:dyDescent="0.25">
      <c r="A256">
        <v>96</v>
      </c>
      <c r="B256" t="s">
        <v>18</v>
      </c>
      <c r="C256">
        <v>1</v>
      </c>
      <c r="D256">
        <v>141</v>
      </c>
      <c r="E256">
        <v>2584</v>
      </c>
      <c r="F256">
        <v>154</v>
      </c>
      <c r="G256">
        <v>5375</v>
      </c>
      <c r="H256">
        <v>164</v>
      </c>
      <c r="I256">
        <v>3737</v>
      </c>
      <c r="P256" t="s">
        <v>526</v>
      </c>
      <c r="Q256">
        <v>20260120</v>
      </c>
      <c r="R256" t="s">
        <v>527</v>
      </c>
    </row>
    <row r="257" spans="1:18" x14ac:dyDescent="0.25">
      <c r="A257">
        <v>96</v>
      </c>
      <c r="B257" t="s">
        <v>18</v>
      </c>
      <c r="C257">
        <v>2</v>
      </c>
      <c r="D257">
        <v>258</v>
      </c>
      <c r="E257">
        <v>3613</v>
      </c>
      <c r="F257">
        <v>277</v>
      </c>
      <c r="G257">
        <v>5277</v>
      </c>
      <c r="H257">
        <v>295</v>
      </c>
      <c r="I257">
        <v>4094</v>
      </c>
      <c r="P257" t="s">
        <v>528</v>
      </c>
      <c r="Q257">
        <v>20260120</v>
      </c>
      <c r="R257" t="s">
        <v>529</v>
      </c>
    </row>
    <row r="258" spans="1:18" x14ac:dyDescent="0.25">
      <c r="A258">
        <v>96</v>
      </c>
      <c r="B258" t="s">
        <v>18</v>
      </c>
      <c r="C258">
        <v>3</v>
      </c>
      <c r="D258">
        <v>297</v>
      </c>
      <c r="E258">
        <v>4121</v>
      </c>
      <c r="F258">
        <v>316</v>
      </c>
      <c r="G258">
        <v>8552</v>
      </c>
      <c r="H258">
        <v>336</v>
      </c>
      <c r="I258">
        <v>3623</v>
      </c>
      <c r="P258" t="s">
        <v>530</v>
      </c>
      <c r="Q258">
        <v>20260120</v>
      </c>
      <c r="R258" t="s">
        <v>531</v>
      </c>
    </row>
    <row r="259" spans="1:18" x14ac:dyDescent="0.25">
      <c r="A259">
        <v>96</v>
      </c>
      <c r="B259" t="s">
        <v>18</v>
      </c>
      <c r="C259">
        <v>4</v>
      </c>
      <c r="D259">
        <v>410</v>
      </c>
      <c r="E259">
        <v>3096</v>
      </c>
      <c r="F259">
        <v>416</v>
      </c>
      <c r="G259">
        <v>4527</v>
      </c>
      <c r="H259">
        <v>423</v>
      </c>
      <c r="I259">
        <v>3075</v>
      </c>
      <c r="P259" t="s">
        <v>532</v>
      </c>
      <c r="Q259">
        <v>20260120</v>
      </c>
      <c r="R259" t="s">
        <v>533</v>
      </c>
    </row>
    <row r="260" spans="1:18" x14ac:dyDescent="0.25">
      <c r="A260">
        <v>97</v>
      </c>
      <c r="B260" t="s">
        <v>18</v>
      </c>
      <c r="C260">
        <v>1</v>
      </c>
      <c r="D260">
        <v>139</v>
      </c>
      <c r="E260">
        <v>2821</v>
      </c>
      <c r="F260">
        <v>152</v>
      </c>
      <c r="G260">
        <v>5760</v>
      </c>
      <c r="H260">
        <v>166</v>
      </c>
      <c r="I260">
        <v>3926</v>
      </c>
      <c r="P260" t="s">
        <v>534</v>
      </c>
      <c r="Q260">
        <v>20260120</v>
      </c>
      <c r="R260" t="s">
        <v>535</v>
      </c>
    </row>
    <row r="261" spans="1:18" x14ac:dyDescent="0.25">
      <c r="A261">
        <v>97</v>
      </c>
      <c r="B261" t="s">
        <v>21</v>
      </c>
      <c r="C261">
        <v>1</v>
      </c>
      <c r="J261">
        <v>252</v>
      </c>
      <c r="K261">
        <v>3461</v>
      </c>
      <c r="L261">
        <v>295</v>
      </c>
      <c r="M261">
        <v>4157</v>
      </c>
      <c r="N261">
        <v>2</v>
      </c>
      <c r="O261">
        <v>204034</v>
      </c>
      <c r="P261" t="s">
        <v>536</v>
      </c>
      <c r="Q261">
        <v>20260120</v>
      </c>
      <c r="R261" t="s">
        <v>537</v>
      </c>
    </row>
    <row r="262" spans="1:18" x14ac:dyDescent="0.25">
      <c r="A262">
        <v>97</v>
      </c>
      <c r="B262" t="s">
        <v>18</v>
      </c>
      <c r="C262">
        <v>2</v>
      </c>
      <c r="D262">
        <v>297</v>
      </c>
      <c r="E262">
        <v>4245</v>
      </c>
      <c r="F262">
        <v>313</v>
      </c>
      <c r="G262">
        <v>9162</v>
      </c>
      <c r="H262">
        <v>331</v>
      </c>
      <c r="I262">
        <v>3913</v>
      </c>
      <c r="P262" t="s">
        <v>538</v>
      </c>
      <c r="Q262">
        <v>20260120</v>
      </c>
      <c r="R262" t="s">
        <v>539</v>
      </c>
    </row>
    <row r="263" spans="1:18" x14ac:dyDescent="0.25">
      <c r="A263">
        <v>97</v>
      </c>
      <c r="B263" t="s">
        <v>18</v>
      </c>
      <c r="C263">
        <v>3</v>
      </c>
      <c r="D263">
        <v>408</v>
      </c>
      <c r="E263">
        <v>3041</v>
      </c>
      <c r="F263">
        <v>415</v>
      </c>
      <c r="G263">
        <v>4892</v>
      </c>
      <c r="H263">
        <v>421</v>
      </c>
      <c r="I263">
        <v>3079</v>
      </c>
      <c r="P263" t="s">
        <v>540</v>
      </c>
      <c r="Q263">
        <v>20260120</v>
      </c>
      <c r="R263" t="s">
        <v>541</v>
      </c>
    </row>
    <row r="264" spans="1:18" x14ac:dyDescent="0.25">
      <c r="A264">
        <v>98</v>
      </c>
      <c r="B264" t="s">
        <v>18</v>
      </c>
      <c r="C264">
        <v>1</v>
      </c>
      <c r="D264">
        <v>139</v>
      </c>
      <c r="E264">
        <v>3214</v>
      </c>
      <c r="F264">
        <v>148</v>
      </c>
      <c r="G264">
        <v>5824</v>
      </c>
      <c r="H264">
        <v>157</v>
      </c>
      <c r="I264">
        <v>3972</v>
      </c>
      <c r="P264" t="s">
        <v>542</v>
      </c>
      <c r="Q264">
        <v>20260120</v>
      </c>
      <c r="R264" t="s">
        <v>543</v>
      </c>
    </row>
    <row r="265" spans="1:18" x14ac:dyDescent="0.25">
      <c r="A265">
        <v>98</v>
      </c>
      <c r="B265" t="s">
        <v>21</v>
      </c>
      <c r="C265">
        <v>1</v>
      </c>
      <c r="J265">
        <v>248</v>
      </c>
      <c r="K265">
        <v>3745</v>
      </c>
      <c r="L265">
        <v>288</v>
      </c>
      <c r="M265">
        <v>4572</v>
      </c>
      <c r="N265">
        <v>2</v>
      </c>
      <c r="O265">
        <v>214466</v>
      </c>
      <c r="P265" t="s">
        <v>544</v>
      </c>
      <c r="Q265">
        <v>20260120</v>
      </c>
      <c r="R265" t="s">
        <v>545</v>
      </c>
    </row>
    <row r="266" spans="1:18" x14ac:dyDescent="0.25">
      <c r="A266">
        <v>98</v>
      </c>
      <c r="B266" t="s">
        <v>18</v>
      </c>
      <c r="C266">
        <v>2</v>
      </c>
      <c r="D266">
        <v>289</v>
      </c>
      <c r="E266">
        <v>4563</v>
      </c>
      <c r="F266">
        <v>305</v>
      </c>
      <c r="G266">
        <v>11172</v>
      </c>
      <c r="H266">
        <v>319</v>
      </c>
      <c r="I266">
        <v>4155</v>
      </c>
      <c r="P266" t="s">
        <v>546</v>
      </c>
      <c r="Q266">
        <v>20260120</v>
      </c>
      <c r="R266" t="s">
        <v>547</v>
      </c>
    </row>
    <row r="267" spans="1:18" x14ac:dyDescent="0.25">
      <c r="A267">
        <v>98</v>
      </c>
      <c r="B267" t="s">
        <v>18</v>
      </c>
      <c r="C267">
        <v>3</v>
      </c>
      <c r="D267">
        <v>406</v>
      </c>
      <c r="E267">
        <v>3285</v>
      </c>
      <c r="F267">
        <v>411</v>
      </c>
      <c r="G267">
        <v>5370</v>
      </c>
      <c r="H267">
        <v>416</v>
      </c>
      <c r="I267">
        <v>2928</v>
      </c>
      <c r="P267" t="s">
        <v>548</v>
      </c>
      <c r="Q267">
        <v>20260120</v>
      </c>
      <c r="R267" t="s">
        <v>549</v>
      </c>
    </row>
    <row r="268" spans="1:18" x14ac:dyDescent="0.25">
      <c r="A268">
        <v>99</v>
      </c>
      <c r="B268" t="s">
        <v>18</v>
      </c>
      <c r="C268">
        <v>1</v>
      </c>
      <c r="D268">
        <v>136</v>
      </c>
      <c r="E268">
        <v>2847</v>
      </c>
      <c r="F268">
        <v>149</v>
      </c>
      <c r="G268">
        <v>5502</v>
      </c>
      <c r="H268">
        <v>156</v>
      </c>
      <c r="I268">
        <v>4041</v>
      </c>
      <c r="P268" t="s">
        <v>550</v>
      </c>
      <c r="Q268">
        <v>20260120</v>
      </c>
      <c r="R268" t="s">
        <v>551</v>
      </c>
    </row>
    <row r="269" spans="1:18" x14ac:dyDescent="0.25">
      <c r="A269">
        <v>99</v>
      </c>
      <c r="B269" t="s">
        <v>21</v>
      </c>
      <c r="C269">
        <v>1</v>
      </c>
      <c r="J269">
        <v>247</v>
      </c>
      <c r="K269">
        <v>3865</v>
      </c>
      <c r="L269">
        <v>285</v>
      </c>
      <c r="M269">
        <v>5289</v>
      </c>
      <c r="N269">
        <v>2</v>
      </c>
      <c r="O269">
        <v>224925</v>
      </c>
      <c r="P269" t="s">
        <v>552</v>
      </c>
      <c r="Q269">
        <v>20260120</v>
      </c>
      <c r="R269" t="s">
        <v>553</v>
      </c>
    </row>
    <row r="270" spans="1:18" x14ac:dyDescent="0.25">
      <c r="A270">
        <v>99</v>
      </c>
      <c r="B270" t="s">
        <v>18</v>
      </c>
      <c r="C270">
        <v>2</v>
      </c>
      <c r="D270">
        <v>286</v>
      </c>
      <c r="E270">
        <v>5547</v>
      </c>
      <c r="F270">
        <v>296</v>
      </c>
      <c r="G270">
        <v>12751</v>
      </c>
      <c r="H270">
        <v>309</v>
      </c>
      <c r="I270">
        <v>4186</v>
      </c>
      <c r="P270" t="s">
        <v>554</v>
      </c>
      <c r="Q270">
        <v>20260120</v>
      </c>
      <c r="R270" t="s">
        <v>555</v>
      </c>
    </row>
    <row r="271" spans="1:18" x14ac:dyDescent="0.25">
      <c r="A271">
        <v>99</v>
      </c>
      <c r="B271" t="s">
        <v>18</v>
      </c>
      <c r="C271">
        <v>3</v>
      </c>
      <c r="D271">
        <v>405</v>
      </c>
      <c r="E271">
        <v>3050</v>
      </c>
      <c r="F271">
        <v>411</v>
      </c>
      <c r="G271">
        <v>5072</v>
      </c>
      <c r="H271">
        <v>415</v>
      </c>
      <c r="I271">
        <v>3028</v>
      </c>
      <c r="P271" t="s">
        <v>556</v>
      </c>
      <c r="Q271">
        <v>20260120</v>
      </c>
      <c r="R271" t="s">
        <v>557</v>
      </c>
    </row>
    <row r="272" spans="1:18" x14ac:dyDescent="0.25">
      <c r="A272">
        <v>100</v>
      </c>
      <c r="B272" t="s">
        <v>18</v>
      </c>
      <c r="C272">
        <v>1</v>
      </c>
      <c r="D272">
        <v>134</v>
      </c>
      <c r="E272">
        <v>3025</v>
      </c>
      <c r="F272">
        <v>146</v>
      </c>
      <c r="G272">
        <v>7051</v>
      </c>
      <c r="H272">
        <v>150</v>
      </c>
      <c r="I272">
        <v>3681</v>
      </c>
      <c r="P272" t="s">
        <v>558</v>
      </c>
      <c r="Q272">
        <v>20260120</v>
      </c>
      <c r="R272" t="s">
        <v>559</v>
      </c>
    </row>
    <row r="273" spans="1:18" x14ac:dyDescent="0.25">
      <c r="A273">
        <v>100</v>
      </c>
      <c r="B273" t="s">
        <v>18</v>
      </c>
      <c r="C273">
        <v>2</v>
      </c>
      <c r="D273">
        <v>405</v>
      </c>
      <c r="E273">
        <v>2979</v>
      </c>
      <c r="F273">
        <v>412</v>
      </c>
      <c r="G273">
        <v>4984</v>
      </c>
      <c r="H273">
        <v>417</v>
      </c>
      <c r="I273">
        <v>2990</v>
      </c>
      <c r="P273" t="s">
        <v>560</v>
      </c>
      <c r="Q273">
        <v>20260120</v>
      </c>
      <c r="R273" t="s">
        <v>561</v>
      </c>
    </row>
    <row r="274" spans="1:18" x14ac:dyDescent="0.25">
      <c r="A274">
        <v>101</v>
      </c>
      <c r="B274" t="s">
        <v>18</v>
      </c>
      <c r="C274">
        <v>1</v>
      </c>
      <c r="D274">
        <v>139</v>
      </c>
      <c r="E274">
        <v>2974</v>
      </c>
      <c r="F274">
        <v>149</v>
      </c>
      <c r="G274">
        <v>4498</v>
      </c>
      <c r="H274">
        <v>166</v>
      </c>
      <c r="I274">
        <v>3580</v>
      </c>
      <c r="P274" t="s">
        <v>562</v>
      </c>
      <c r="Q274">
        <v>20260120</v>
      </c>
      <c r="R274" t="s">
        <v>563</v>
      </c>
    </row>
    <row r="275" spans="1:18" x14ac:dyDescent="0.25">
      <c r="A275">
        <v>101</v>
      </c>
      <c r="B275" t="s">
        <v>21</v>
      </c>
      <c r="C275">
        <v>1</v>
      </c>
      <c r="J275">
        <v>250</v>
      </c>
      <c r="K275">
        <v>3910</v>
      </c>
      <c r="L275">
        <v>296</v>
      </c>
      <c r="M275">
        <v>4152</v>
      </c>
      <c r="N275">
        <v>2</v>
      </c>
      <c r="O275">
        <v>327384</v>
      </c>
      <c r="P275" t="s">
        <v>564</v>
      </c>
      <c r="Q275">
        <v>20260120</v>
      </c>
      <c r="R275" t="s">
        <v>565</v>
      </c>
    </row>
    <row r="276" spans="1:18" x14ac:dyDescent="0.25">
      <c r="A276">
        <v>101</v>
      </c>
      <c r="B276" t="s">
        <v>18</v>
      </c>
      <c r="C276">
        <v>2</v>
      </c>
      <c r="D276">
        <v>406</v>
      </c>
      <c r="E276">
        <v>2997</v>
      </c>
      <c r="F276">
        <v>412</v>
      </c>
      <c r="G276">
        <v>4722</v>
      </c>
      <c r="H276">
        <v>417</v>
      </c>
      <c r="I276">
        <v>3023</v>
      </c>
      <c r="P276" t="s">
        <v>566</v>
      </c>
      <c r="Q276">
        <v>20260120</v>
      </c>
      <c r="R276" t="s">
        <v>567</v>
      </c>
    </row>
    <row r="277" spans="1:18" x14ac:dyDescent="0.25">
      <c r="A277">
        <v>102</v>
      </c>
      <c r="B277" t="s">
        <v>18</v>
      </c>
      <c r="C277">
        <v>1</v>
      </c>
      <c r="D277">
        <v>141</v>
      </c>
      <c r="E277">
        <v>3320</v>
      </c>
      <c r="F277">
        <v>154</v>
      </c>
      <c r="G277">
        <v>5619</v>
      </c>
      <c r="H277">
        <v>162</v>
      </c>
      <c r="I277">
        <v>3870</v>
      </c>
      <c r="P277" t="s">
        <v>568</v>
      </c>
      <c r="Q277">
        <v>20260120</v>
      </c>
      <c r="R277" t="s">
        <v>569</v>
      </c>
    </row>
    <row r="278" spans="1:18" x14ac:dyDescent="0.25">
      <c r="A278">
        <v>102</v>
      </c>
      <c r="B278" t="s">
        <v>21</v>
      </c>
      <c r="C278">
        <v>1</v>
      </c>
      <c r="J278">
        <v>250</v>
      </c>
      <c r="K278">
        <v>4291</v>
      </c>
      <c r="L278">
        <v>293</v>
      </c>
      <c r="M278">
        <v>4285</v>
      </c>
      <c r="N278">
        <v>2</v>
      </c>
      <c r="O278">
        <v>323651</v>
      </c>
      <c r="P278" t="s">
        <v>570</v>
      </c>
      <c r="Q278">
        <v>20260120</v>
      </c>
      <c r="R278" t="s">
        <v>571</v>
      </c>
    </row>
    <row r="279" spans="1:18" x14ac:dyDescent="0.25">
      <c r="A279">
        <v>102</v>
      </c>
      <c r="B279" t="s">
        <v>18</v>
      </c>
      <c r="C279">
        <v>2</v>
      </c>
      <c r="D279">
        <v>406</v>
      </c>
      <c r="E279">
        <v>2833</v>
      </c>
      <c r="F279">
        <v>416</v>
      </c>
      <c r="G279">
        <v>4254</v>
      </c>
      <c r="H279">
        <v>420</v>
      </c>
      <c r="I279">
        <v>2961</v>
      </c>
      <c r="P279" t="s">
        <v>572</v>
      </c>
      <c r="Q279">
        <v>20260120</v>
      </c>
      <c r="R279" t="s">
        <v>573</v>
      </c>
    </row>
  </sheetData>
  <phoneticPr fontId="1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4CBE2-6C09-40C9-AEA8-F12994F22B4D}">
  <dimension ref="A1:H279"/>
  <sheetViews>
    <sheetView tabSelected="1" topLeftCell="A29" workbookViewId="0">
      <selection activeCell="A34" sqref="A34:XFD40"/>
    </sheetView>
  </sheetViews>
  <sheetFormatPr defaultRowHeight="14" x14ac:dyDescent="0.25"/>
  <cols>
    <col min="2" max="2" width="7.36328125" customWidth="1"/>
  </cols>
  <sheetData>
    <row r="1" spans="1:8" x14ac:dyDescent="0.25">
      <c r="A1" t="s">
        <v>574</v>
      </c>
      <c r="B1" t="s">
        <v>575</v>
      </c>
      <c r="C1" t="s">
        <v>576</v>
      </c>
      <c r="D1" t="s">
        <v>577</v>
      </c>
      <c r="E1" t="s">
        <v>578</v>
      </c>
      <c r="F1" t="s">
        <v>579</v>
      </c>
      <c r="G1" t="s">
        <v>580</v>
      </c>
      <c r="H1" t="s">
        <v>581</v>
      </c>
    </row>
    <row r="2" spans="1:8" x14ac:dyDescent="0.25">
      <c r="A2">
        <f>annot_records!A2</f>
        <v>1</v>
      </c>
      <c r="B2">
        <f>IF(annot_records!B2="峰标注",1,2)</f>
        <v>1</v>
      </c>
      <c r="C2">
        <f>IF(B2=1,annot_records!D2,annot_records!J2)</f>
        <v>211</v>
      </c>
      <c r="D2">
        <f>IF(B2=1,annot_records!H2,annot_records!L2)</f>
        <v>229</v>
      </c>
      <c r="E2">
        <f>IF(B2=1,annot_records!F2,-1)</f>
        <v>216</v>
      </c>
      <c r="F2">
        <f>IF(B2=1,annot_records!G2-(annot_records!E2+annot_records!I2)/2,-1)</f>
        <v>1012.5</v>
      </c>
      <c r="G2">
        <f>IF(B2=2,annot_records!O2-(annot_records!M2+annot_records!K2)*(annot_records!L2-annot_records!J2)/2,-1)</f>
        <v>-1</v>
      </c>
      <c r="H2">
        <f>IF(B2=2,annot_records!N2,-1)</f>
        <v>-1</v>
      </c>
    </row>
    <row r="3" spans="1:8" x14ac:dyDescent="0.25">
      <c r="A3">
        <f>annot_records!A3</f>
        <v>1</v>
      </c>
      <c r="B3">
        <f>IF(annot_records!B3="峰标注",1,2)</f>
        <v>2</v>
      </c>
      <c r="C3">
        <f>IF(B3=1,annot_records!D3,annot_records!J3)</f>
        <v>397</v>
      </c>
      <c r="D3">
        <f>IF(B3=1,annot_records!H3,annot_records!L3)</f>
        <v>433</v>
      </c>
      <c r="E3">
        <f>IF(B3=1,annot_records!F3,-1)</f>
        <v>-1</v>
      </c>
      <c r="F3">
        <f>IF(B3=1,annot_records!G3-(annot_records!E3+annot_records!I3)/2,-1)</f>
        <v>-1</v>
      </c>
      <c r="G3">
        <f>IF(B3=2,annot_records!O3-(annot_records!M3+annot_records!K3)*(annot_records!L3-annot_records!J3)/2,-1)</f>
        <v>6992</v>
      </c>
      <c r="H3">
        <f>IF(B3=2,annot_records!N3,-1)</f>
        <v>3</v>
      </c>
    </row>
    <row r="4" spans="1:8" x14ac:dyDescent="0.25">
      <c r="A4">
        <f>annot_records!A4</f>
        <v>1</v>
      </c>
      <c r="B4">
        <f>IF(annot_records!B4="峰标注",1,2)</f>
        <v>1</v>
      </c>
      <c r="C4">
        <f>IF(B4=1,annot_records!D4,annot_records!J4)</f>
        <v>526</v>
      </c>
      <c r="D4">
        <f>IF(B4=1,annot_records!H4,annot_records!L4)</f>
        <v>560</v>
      </c>
      <c r="E4">
        <f>IF(B4=1,annot_records!F4,-1)</f>
        <v>544</v>
      </c>
      <c r="F4">
        <f>IF(B4=1,annot_records!G4-(annot_records!E4+annot_records!I4)/2,-1)</f>
        <v>459.5</v>
      </c>
      <c r="G4">
        <f>IF(B4=2,annot_records!O4-(annot_records!M4+annot_records!K4)*(annot_records!L4-annot_records!J4)/2,-1)</f>
        <v>-1</v>
      </c>
      <c r="H4">
        <f>IF(B4=2,annot_records!N4,-1)</f>
        <v>-1</v>
      </c>
    </row>
    <row r="5" spans="1:8" x14ac:dyDescent="0.25">
      <c r="A5">
        <f>annot_records!A5</f>
        <v>2</v>
      </c>
      <c r="B5">
        <f>IF(annot_records!B5="峰标注",1,2)</f>
        <v>1</v>
      </c>
      <c r="C5">
        <f>IF(B5=1,annot_records!D5,annot_records!J5)</f>
        <v>210</v>
      </c>
      <c r="D5">
        <f>IF(B5=1,annot_records!H5,annot_records!L5)</f>
        <v>228</v>
      </c>
      <c r="E5">
        <f>IF(B5=1,annot_records!F5,-1)</f>
        <v>215</v>
      </c>
      <c r="F5">
        <f>IF(B5=1,annot_records!G5-(annot_records!E5+annot_records!I5)/2,-1)</f>
        <v>1677</v>
      </c>
      <c r="G5">
        <f>IF(B5=2,annot_records!O5-(annot_records!M5+annot_records!K5)*(annot_records!L5-annot_records!J5)/2,-1)</f>
        <v>-1</v>
      </c>
      <c r="H5">
        <f>IF(B5=2,annot_records!N5,-1)</f>
        <v>-1</v>
      </c>
    </row>
    <row r="6" spans="1:8" x14ac:dyDescent="0.25">
      <c r="A6">
        <f>annot_records!A6</f>
        <v>2</v>
      </c>
      <c r="B6">
        <f>IF(annot_records!B6="峰标注",1,2)</f>
        <v>2</v>
      </c>
      <c r="C6">
        <f>IF(B6=1,annot_records!D6,annot_records!J6)</f>
        <v>399</v>
      </c>
      <c r="D6">
        <f>IF(B6=1,annot_records!H6,annot_records!L6)</f>
        <v>422</v>
      </c>
      <c r="E6">
        <f>IF(B6=1,annot_records!F6,-1)</f>
        <v>-1</v>
      </c>
      <c r="F6">
        <f>IF(B6=1,annot_records!G6-(annot_records!E6+annot_records!I6)/2,-1)</f>
        <v>-1</v>
      </c>
      <c r="G6">
        <f>IF(B6=2,annot_records!O6-(annot_records!M6+annot_records!K6)*(annot_records!L6-annot_records!J6)/2,-1)</f>
        <v>4267</v>
      </c>
      <c r="H6">
        <f>IF(B6=2,annot_records!N6,-1)</f>
        <v>2</v>
      </c>
    </row>
    <row r="7" spans="1:8" x14ac:dyDescent="0.25">
      <c r="A7">
        <f>annot_records!A7</f>
        <v>2</v>
      </c>
      <c r="B7">
        <f>IF(annot_records!B7="峰标注",1,2)</f>
        <v>1</v>
      </c>
      <c r="C7">
        <f>IF(B7=1,annot_records!D7,annot_records!J7)</f>
        <v>524</v>
      </c>
      <c r="D7">
        <f>IF(B7=1,annot_records!H7,annot_records!L7)</f>
        <v>565</v>
      </c>
      <c r="E7">
        <f>IF(B7=1,annot_records!F7,-1)</f>
        <v>543</v>
      </c>
      <c r="F7">
        <f>IF(B7=1,annot_records!G7-(annot_records!E7+annot_records!I7)/2,-1)</f>
        <v>916</v>
      </c>
      <c r="G7">
        <f>IF(B7=2,annot_records!O7-(annot_records!M7+annot_records!K7)*(annot_records!L7-annot_records!J7)/2,-1)</f>
        <v>-1</v>
      </c>
      <c r="H7">
        <f>IF(B7=2,annot_records!N7,-1)</f>
        <v>-1</v>
      </c>
    </row>
    <row r="8" spans="1:8" x14ac:dyDescent="0.25">
      <c r="A8">
        <f>annot_records!A8</f>
        <v>3</v>
      </c>
      <c r="B8">
        <f>IF(annot_records!B8="峰标注",1,2)</f>
        <v>2</v>
      </c>
      <c r="C8">
        <f>IF(B8=1,annot_records!D8,annot_records!J8)</f>
        <v>202</v>
      </c>
      <c r="D8">
        <f>IF(B8=1,annot_records!H8,annot_records!L8)</f>
        <v>236</v>
      </c>
      <c r="E8">
        <f>IF(B8=1,annot_records!F8,-1)</f>
        <v>-1</v>
      </c>
      <c r="F8">
        <f>IF(B8=1,annot_records!G8-(annot_records!E8+annot_records!I8)/2,-1)</f>
        <v>-1</v>
      </c>
      <c r="G8">
        <f>IF(B8=2,annot_records!O8-(annot_records!M8+annot_records!K8)*(annot_records!L8-annot_records!J8)/2,-1)</f>
        <v>16421</v>
      </c>
      <c r="H8">
        <f>IF(B8=2,annot_records!N8,-1)</f>
        <v>4</v>
      </c>
    </row>
    <row r="9" spans="1:8" x14ac:dyDescent="0.25">
      <c r="A9">
        <f>annot_records!A9</f>
        <v>3</v>
      </c>
      <c r="B9">
        <f>IF(annot_records!B9="峰标注",1,2)</f>
        <v>2</v>
      </c>
      <c r="C9">
        <f>IF(B9=1,annot_records!D9,annot_records!J9)</f>
        <v>402</v>
      </c>
      <c r="D9">
        <f>IF(B9=1,annot_records!H9,annot_records!L9)</f>
        <v>434</v>
      </c>
      <c r="E9">
        <f>IF(B9=1,annot_records!F9,-1)</f>
        <v>-1</v>
      </c>
      <c r="F9">
        <f>IF(B9=1,annot_records!G9-(annot_records!E9+annot_records!I9)/2,-1)</f>
        <v>-1</v>
      </c>
      <c r="G9">
        <f>IF(B9=2,annot_records!O9-(annot_records!M9+annot_records!K9)*(annot_records!L9-annot_records!J9)/2,-1)</f>
        <v>13308</v>
      </c>
      <c r="H9">
        <f>IF(B9=2,annot_records!N9,-1)</f>
        <v>2</v>
      </c>
    </row>
    <row r="10" spans="1:8" x14ac:dyDescent="0.25">
      <c r="A10">
        <f>annot_records!A10</f>
        <v>3</v>
      </c>
      <c r="B10">
        <f>IF(annot_records!B10="峰标注",1,2)</f>
        <v>1</v>
      </c>
      <c r="C10">
        <f>IF(B10=1,annot_records!D10,annot_records!J10)</f>
        <v>525</v>
      </c>
      <c r="D10">
        <f>IF(B10=1,annot_records!H10,annot_records!L10)</f>
        <v>570</v>
      </c>
      <c r="E10">
        <f>IF(B10=1,annot_records!F10,-1)</f>
        <v>542</v>
      </c>
      <c r="F10">
        <f>IF(B10=1,annot_records!G10-(annot_records!E10+annot_records!I10)/2,-1)</f>
        <v>504.5</v>
      </c>
      <c r="G10">
        <f>IF(B10=2,annot_records!O10-(annot_records!M10+annot_records!K10)*(annot_records!L10-annot_records!J10)/2,-1)</f>
        <v>-1</v>
      </c>
      <c r="H10">
        <f>IF(B10=2,annot_records!N10,-1)</f>
        <v>-1</v>
      </c>
    </row>
    <row r="11" spans="1:8" x14ac:dyDescent="0.25">
      <c r="A11">
        <f>annot_records!A11</f>
        <v>4</v>
      </c>
      <c r="B11">
        <f>IF(annot_records!B11="峰标注",1,2)</f>
        <v>1</v>
      </c>
      <c r="C11">
        <f>IF(B11=1,annot_records!D11,annot_records!J11)</f>
        <v>210</v>
      </c>
      <c r="D11">
        <f>IF(B11=1,annot_records!H11,annot_records!L11)</f>
        <v>225</v>
      </c>
      <c r="E11">
        <f>IF(B11=1,annot_records!F11,-1)</f>
        <v>215</v>
      </c>
      <c r="F11">
        <f>IF(B11=1,annot_records!G11-(annot_records!E11+annot_records!I11)/2,-1)</f>
        <v>1007.5</v>
      </c>
      <c r="G11">
        <f>IF(B11=2,annot_records!O11-(annot_records!M11+annot_records!K11)*(annot_records!L11-annot_records!J11)/2,-1)</f>
        <v>-1</v>
      </c>
      <c r="H11">
        <f>IF(B11=2,annot_records!N11,-1)</f>
        <v>-1</v>
      </c>
    </row>
    <row r="12" spans="1:8" x14ac:dyDescent="0.25">
      <c r="A12">
        <f>annot_records!A12</f>
        <v>4</v>
      </c>
      <c r="B12">
        <f>IF(annot_records!B12="峰标注",1,2)</f>
        <v>1</v>
      </c>
      <c r="C12">
        <f>IF(B12=1,annot_records!D12,annot_records!J12)</f>
        <v>320</v>
      </c>
      <c r="D12">
        <f>IF(B12=1,annot_records!H12,annot_records!L12)</f>
        <v>328</v>
      </c>
      <c r="E12">
        <f>IF(B12=1,annot_records!F12,-1)</f>
        <v>323</v>
      </c>
      <c r="F12">
        <f>IF(B12=1,annot_records!G12-(annot_records!E12+annot_records!I12)/2,-1)</f>
        <v>256.5</v>
      </c>
      <c r="G12">
        <f>IF(B12=2,annot_records!O12-(annot_records!M12+annot_records!K12)*(annot_records!L12-annot_records!J12)/2,-1)</f>
        <v>-1</v>
      </c>
      <c r="H12">
        <f>IF(B12=2,annot_records!N12,-1)</f>
        <v>-1</v>
      </c>
    </row>
    <row r="13" spans="1:8" x14ac:dyDescent="0.25">
      <c r="A13">
        <f>annot_records!A13</f>
        <v>4</v>
      </c>
      <c r="B13">
        <f>IF(annot_records!B13="峰标注",1,2)</f>
        <v>1</v>
      </c>
      <c r="C13">
        <f>IF(B13=1,annot_records!D13,annot_records!J13)</f>
        <v>525</v>
      </c>
      <c r="D13">
        <f>IF(B13=1,annot_records!H13,annot_records!L13)</f>
        <v>569</v>
      </c>
      <c r="E13">
        <f>IF(B13=1,annot_records!F13,-1)</f>
        <v>548</v>
      </c>
      <c r="F13">
        <f>IF(B13=1,annot_records!G13-(annot_records!E13+annot_records!I13)/2,-1)</f>
        <v>1663.5</v>
      </c>
      <c r="G13">
        <f>IF(B13=2,annot_records!O13-(annot_records!M13+annot_records!K13)*(annot_records!L13-annot_records!J13)/2,-1)</f>
        <v>-1</v>
      </c>
      <c r="H13">
        <f>IF(B13=2,annot_records!N13,-1)</f>
        <v>-1</v>
      </c>
    </row>
    <row r="14" spans="1:8" x14ac:dyDescent="0.25">
      <c r="A14">
        <f>annot_records!A14</f>
        <v>5</v>
      </c>
      <c r="B14">
        <f>IF(annot_records!B14="峰标注",1,2)</f>
        <v>1</v>
      </c>
      <c r="C14">
        <f>IF(B14=1,annot_records!D14,annot_records!J14)</f>
        <v>210</v>
      </c>
      <c r="D14">
        <f>IF(B14=1,annot_records!H14,annot_records!L14)</f>
        <v>224</v>
      </c>
      <c r="E14">
        <f>IF(B14=1,annot_records!F14,-1)</f>
        <v>214</v>
      </c>
      <c r="F14">
        <f>IF(B14=1,annot_records!G14-(annot_records!E14+annot_records!I14)/2,-1)</f>
        <v>2156.5</v>
      </c>
      <c r="G14">
        <f>IF(B14=2,annot_records!O14-(annot_records!M14+annot_records!K14)*(annot_records!L14-annot_records!J14)/2,-1)</f>
        <v>-1</v>
      </c>
      <c r="H14">
        <f>IF(B14=2,annot_records!N14,-1)</f>
        <v>-1</v>
      </c>
    </row>
    <row r="15" spans="1:8" x14ac:dyDescent="0.25">
      <c r="A15">
        <f>annot_records!A15</f>
        <v>5</v>
      </c>
      <c r="B15">
        <f>IF(annot_records!B15="峰标注",1,2)</f>
        <v>1</v>
      </c>
      <c r="C15">
        <f>IF(B15=1,annot_records!D15,annot_records!J15)</f>
        <v>386</v>
      </c>
      <c r="D15">
        <f>IF(B15=1,annot_records!H15,annot_records!L15)</f>
        <v>405</v>
      </c>
      <c r="E15">
        <f>IF(B15=1,annot_records!F15,-1)</f>
        <v>400</v>
      </c>
      <c r="F15">
        <f>IF(B15=1,annot_records!G15-(annot_records!E15+annot_records!I15)/2,-1)</f>
        <v>517.5</v>
      </c>
      <c r="G15">
        <f>IF(B15=2,annot_records!O15-(annot_records!M15+annot_records!K15)*(annot_records!L15-annot_records!J15)/2,-1)</f>
        <v>-1</v>
      </c>
      <c r="H15">
        <f>IF(B15=2,annot_records!N15,-1)</f>
        <v>-1</v>
      </c>
    </row>
    <row r="16" spans="1:8" x14ac:dyDescent="0.25">
      <c r="A16">
        <f>annot_records!A16</f>
        <v>5</v>
      </c>
      <c r="B16">
        <f>IF(annot_records!B16="峰标注",1,2)</f>
        <v>1</v>
      </c>
      <c r="C16">
        <f>IF(B16=1,annot_records!D16,annot_records!J16)</f>
        <v>405</v>
      </c>
      <c r="D16">
        <f>IF(B16=1,annot_records!H16,annot_records!L16)</f>
        <v>424</v>
      </c>
      <c r="E16">
        <f>IF(B16=1,annot_records!F16,-1)</f>
        <v>415</v>
      </c>
      <c r="F16">
        <f>IF(B16=1,annot_records!G16-(annot_records!E16+annot_records!I16)/2,-1)</f>
        <v>4249.5</v>
      </c>
      <c r="G16">
        <f>IF(B16=2,annot_records!O16-(annot_records!M16+annot_records!K16)*(annot_records!L16-annot_records!J16)/2,-1)</f>
        <v>-1</v>
      </c>
      <c r="H16">
        <f>IF(B16=2,annot_records!N16,-1)</f>
        <v>-1</v>
      </c>
    </row>
    <row r="17" spans="1:8" x14ac:dyDescent="0.25">
      <c r="A17">
        <f>annot_records!A17</f>
        <v>5</v>
      </c>
      <c r="B17">
        <f>IF(annot_records!B17="峰标注",1,2)</f>
        <v>1</v>
      </c>
      <c r="C17">
        <f>IF(B17=1,annot_records!D17,annot_records!J17)</f>
        <v>521</v>
      </c>
      <c r="D17">
        <f>IF(B17=1,annot_records!H17,annot_records!L17)</f>
        <v>566</v>
      </c>
      <c r="E17">
        <f>IF(B17=1,annot_records!F17,-1)</f>
        <v>543</v>
      </c>
      <c r="F17">
        <f>IF(B17=1,annot_records!G17-(annot_records!E17+annot_records!I17)/2,-1)</f>
        <v>2076.5</v>
      </c>
      <c r="G17">
        <f>IF(B17=2,annot_records!O17-(annot_records!M17+annot_records!K17)*(annot_records!L17-annot_records!J17)/2,-1)</f>
        <v>-1</v>
      </c>
      <c r="H17">
        <f>IF(B17=2,annot_records!N17,-1)</f>
        <v>-1</v>
      </c>
    </row>
    <row r="18" spans="1:8" x14ac:dyDescent="0.25">
      <c r="A18">
        <f>annot_records!A18</f>
        <v>6</v>
      </c>
      <c r="B18">
        <f>IF(annot_records!B18="峰标注",1,2)</f>
        <v>1</v>
      </c>
      <c r="C18">
        <f>IF(B18=1,annot_records!D18,annot_records!J18)</f>
        <v>212</v>
      </c>
      <c r="D18">
        <f>IF(B18=1,annot_records!H18,annot_records!L18)</f>
        <v>224</v>
      </c>
      <c r="E18">
        <f>IF(B18=1,annot_records!F18,-1)</f>
        <v>214</v>
      </c>
      <c r="F18">
        <f>IF(B18=1,annot_records!G18-(annot_records!E18+annot_records!I18)/2,-1)</f>
        <v>2010.5</v>
      </c>
      <c r="G18">
        <f>IF(B18=2,annot_records!O18-(annot_records!M18+annot_records!K18)*(annot_records!L18-annot_records!J18)/2,-1)</f>
        <v>-1</v>
      </c>
      <c r="H18">
        <f>IF(B18=2,annot_records!N18,-1)</f>
        <v>-1</v>
      </c>
    </row>
    <row r="19" spans="1:8" x14ac:dyDescent="0.25">
      <c r="A19">
        <f>annot_records!A19</f>
        <v>6</v>
      </c>
      <c r="B19">
        <f>IF(annot_records!B19="峰标注",1,2)</f>
        <v>1</v>
      </c>
      <c r="C19">
        <f>IF(B19=1,annot_records!D19,annot_records!J19)</f>
        <v>386</v>
      </c>
      <c r="D19">
        <f>IF(B19=1,annot_records!H19,annot_records!L19)</f>
        <v>404</v>
      </c>
      <c r="E19">
        <f>IF(B19=1,annot_records!F19,-1)</f>
        <v>401</v>
      </c>
      <c r="F19">
        <f>IF(B19=1,annot_records!G19-(annot_records!E19+annot_records!I19)/2,-1)</f>
        <v>369</v>
      </c>
      <c r="G19">
        <f>IF(B19=2,annot_records!O19-(annot_records!M19+annot_records!K19)*(annot_records!L19-annot_records!J19)/2,-1)</f>
        <v>-1</v>
      </c>
      <c r="H19">
        <f>IF(B19=2,annot_records!N19,-1)</f>
        <v>-1</v>
      </c>
    </row>
    <row r="20" spans="1:8" x14ac:dyDescent="0.25">
      <c r="A20">
        <f>annot_records!A20</f>
        <v>6</v>
      </c>
      <c r="B20">
        <f>IF(annot_records!B20="峰标注",1,2)</f>
        <v>1</v>
      </c>
      <c r="C20">
        <f>IF(B20=1,annot_records!D20,annot_records!J20)</f>
        <v>407</v>
      </c>
      <c r="D20">
        <f>IF(B20=1,annot_records!H20,annot_records!L20)</f>
        <v>424</v>
      </c>
      <c r="E20">
        <f>IF(B20=1,annot_records!F20,-1)</f>
        <v>414</v>
      </c>
      <c r="F20">
        <f>IF(B20=1,annot_records!G20-(annot_records!E20+annot_records!I20)/2,-1)</f>
        <v>5360</v>
      </c>
      <c r="G20">
        <f>IF(B20=2,annot_records!O20-(annot_records!M20+annot_records!K20)*(annot_records!L20-annot_records!J20)/2,-1)</f>
        <v>-1</v>
      </c>
      <c r="H20">
        <f>IF(B20=2,annot_records!N20,-1)</f>
        <v>-1</v>
      </c>
    </row>
    <row r="21" spans="1:8" x14ac:dyDescent="0.25">
      <c r="A21">
        <f>annot_records!A21</f>
        <v>6</v>
      </c>
      <c r="B21">
        <f>IF(annot_records!B21="峰标注",1,2)</f>
        <v>1</v>
      </c>
      <c r="C21">
        <f>IF(B21=1,annot_records!D21,annot_records!J21)</f>
        <v>521</v>
      </c>
      <c r="D21">
        <f>IF(B21=1,annot_records!H21,annot_records!L21)</f>
        <v>564</v>
      </c>
      <c r="E21">
        <f>IF(B21=1,annot_records!F21,-1)</f>
        <v>544</v>
      </c>
      <c r="F21">
        <f>IF(B21=1,annot_records!G21-(annot_records!E21+annot_records!I21)/2,-1)</f>
        <v>2040</v>
      </c>
      <c r="G21">
        <f>IF(B21=2,annot_records!O21-(annot_records!M21+annot_records!K21)*(annot_records!L21-annot_records!J21)/2,-1)</f>
        <v>-1</v>
      </c>
      <c r="H21">
        <f>IF(B21=2,annot_records!N21,-1)</f>
        <v>-1</v>
      </c>
    </row>
    <row r="22" spans="1:8" x14ac:dyDescent="0.25">
      <c r="A22">
        <f>annot_records!A22</f>
        <v>7</v>
      </c>
      <c r="B22">
        <f>IF(annot_records!B22="峰标注",1,2)</f>
        <v>1</v>
      </c>
      <c r="C22">
        <f>IF(B22=1,annot_records!D22,annot_records!J22)</f>
        <v>167</v>
      </c>
      <c r="D22">
        <f>IF(B22=1,annot_records!H22,annot_records!L22)</f>
        <v>190</v>
      </c>
      <c r="E22">
        <f>IF(B22=1,annot_records!F22,-1)</f>
        <v>183</v>
      </c>
      <c r="F22">
        <f>IF(B22=1,annot_records!G22-(annot_records!E22+annot_records!I22)/2,-1)</f>
        <v>13907</v>
      </c>
      <c r="G22">
        <f>IF(B22=2,annot_records!O22-(annot_records!M22+annot_records!K22)*(annot_records!L22-annot_records!J22)/2,-1)</f>
        <v>-1</v>
      </c>
      <c r="H22">
        <f>IF(B22=2,annot_records!N22,-1)</f>
        <v>-1</v>
      </c>
    </row>
    <row r="23" spans="1:8" x14ac:dyDescent="0.25">
      <c r="A23">
        <f>annot_records!A23</f>
        <v>8</v>
      </c>
      <c r="B23">
        <f>IF(annot_records!B23="峰标注",1,2)</f>
        <v>1</v>
      </c>
      <c r="C23">
        <f>IF(B23=1,annot_records!D23,annot_records!J23)</f>
        <v>164</v>
      </c>
      <c r="D23">
        <f>IF(B23=1,annot_records!H23,annot_records!L23)</f>
        <v>186</v>
      </c>
      <c r="E23">
        <f>IF(B23=1,annot_records!F23,-1)</f>
        <v>182</v>
      </c>
      <c r="F23">
        <f>IF(B23=1,annot_records!G23-(annot_records!E23+annot_records!I23)/2,-1)</f>
        <v>11557</v>
      </c>
      <c r="G23">
        <f>IF(B23=2,annot_records!O23-(annot_records!M23+annot_records!K23)*(annot_records!L23-annot_records!J23)/2,-1)</f>
        <v>-1</v>
      </c>
      <c r="H23">
        <f>IF(B23=2,annot_records!N23,-1)</f>
        <v>-1</v>
      </c>
    </row>
    <row r="24" spans="1:8" x14ac:dyDescent="0.25">
      <c r="A24">
        <f>annot_records!A24</f>
        <v>9</v>
      </c>
      <c r="B24">
        <f>IF(annot_records!B24="峰标注",1,2)</f>
        <v>1</v>
      </c>
      <c r="C24">
        <f>IF(B24=1,annot_records!D24,annot_records!J24)</f>
        <v>167</v>
      </c>
      <c r="D24">
        <f>IF(B24=1,annot_records!H24,annot_records!L24)</f>
        <v>184</v>
      </c>
      <c r="E24">
        <f>IF(B24=1,annot_records!F24,-1)</f>
        <v>180</v>
      </c>
      <c r="F24">
        <f>IF(B24=1,annot_records!G24-(annot_records!E24+annot_records!I24)/2,-1)</f>
        <v>8304.5</v>
      </c>
      <c r="G24">
        <f>IF(B24=2,annot_records!O24-(annot_records!M24+annot_records!K24)*(annot_records!L24-annot_records!J24)/2,-1)</f>
        <v>-1</v>
      </c>
      <c r="H24">
        <f>IF(B24=2,annot_records!N24,-1)</f>
        <v>-1</v>
      </c>
    </row>
    <row r="25" spans="1:8" x14ac:dyDescent="0.25">
      <c r="A25">
        <f>annot_records!A25</f>
        <v>10</v>
      </c>
      <c r="B25">
        <f>IF(annot_records!B25="峰标注",1,2)</f>
        <v>1</v>
      </c>
      <c r="C25">
        <f>IF(B25=1,annot_records!D25,annot_records!J25)</f>
        <v>165</v>
      </c>
      <c r="D25">
        <f>IF(B25=1,annot_records!H25,annot_records!L25)</f>
        <v>182</v>
      </c>
      <c r="E25">
        <f>IF(B25=1,annot_records!F25,-1)</f>
        <v>178</v>
      </c>
      <c r="F25">
        <f>IF(B25=1,annot_records!G25-(annot_records!E25+annot_records!I25)/2,-1)</f>
        <v>4981.5</v>
      </c>
      <c r="G25">
        <f>IF(B25=2,annot_records!O25-(annot_records!M25+annot_records!K25)*(annot_records!L25-annot_records!J25)/2,-1)</f>
        <v>-1</v>
      </c>
      <c r="H25">
        <f>IF(B25=2,annot_records!N25,-1)</f>
        <v>-1</v>
      </c>
    </row>
    <row r="26" spans="1:8" x14ac:dyDescent="0.25">
      <c r="A26">
        <f>annot_records!A26</f>
        <v>11</v>
      </c>
      <c r="B26">
        <f>IF(annot_records!B26="峰标注",1,2)</f>
        <v>1</v>
      </c>
      <c r="C26">
        <f>IF(B26=1,annot_records!D26,annot_records!J26)</f>
        <v>168</v>
      </c>
      <c r="D26">
        <f>IF(B26=1,annot_records!H26,annot_records!L26)</f>
        <v>182</v>
      </c>
      <c r="E26">
        <f>IF(B26=1,annot_records!F26,-1)</f>
        <v>178</v>
      </c>
      <c r="F26">
        <f>IF(B26=1,annot_records!G26-(annot_records!E26+annot_records!I26)/2,-1)</f>
        <v>2181.5</v>
      </c>
      <c r="G26">
        <f>IF(B26=2,annot_records!O26-(annot_records!M26+annot_records!K26)*(annot_records!L26-annot_records!J26)/2,-1)</f>
        <v>-1</v>
      </c>
      <c r="H26">
        <f>IF(B26=2,annot_records!N26,-1)</f>
        <v>-1</v>
      </c>
    </row>
    <row r="27" spans="1:8" x14ac:dyDescent="0.25">
      <c r="A27">
        <f>annot_records!A27</f>
        <v>12</v>
      </c>
      <c r="B27">
        <f>IF(annot_records!B27="峰标注",1,2)</f>
        <v>1</v>
      </c>
      <c r="C27">
        <f>IF(B27=1,annot_records!D27,annot_records!J27)</f>
        <v>167</v>
      </c>
      <c r="D27">
        <f>IF(B27=1,annot_records!H27,annot_records!L27)</f>
        <v>183</v>
      </c>
      <c r="E27">
        <f>IF(B27=1,annot_records!F27,-1)</f>
        <v>178</v>
      </c>
      <c r="F27">
        <f>IF(B27=1,annot_records!G27-(annot_records!E27+annot_records!I27)/2,-1)</f>
        <v>2299.5</v>
      </c>
      <c r="G27">
        <f>IF(B27=2,annot_records!O27-(annot_records!M27+annot_records!K27)*(annot_records!L27-annot_records!J27)/2,-1)</f>
        <v>-1</v>
      </c>
      <c r="H27">
        <f>IF(B27=2,annot_records!N27,-1)</f>
        <v>-1</v>
      </c>
    </row>
    <row r="28" spans="1:8" x14ac:dyDescent="0.25">
      <c r="A28">
        <f>annot_records!A28</f>
        <v>13</v>
      </c>
      <c r="B28">
        <f>IF(annot_records!B28="峰标注",1,2)</f>
        <v>1</v>
      </c>
      <c r="C28">
        <f>IF(B28=1,annot_records!D28,annot_records!J28)</f>
        <v>256</v>
      </c>
      <c r="D28">
        <f>IF(B28=1,annot_records!H28,annot_records!L28)</f>
        <v>287</v>
      </c>
      <c r="E28">
        <f>IF(B28=1,annot_records!F28,-1)</f>
        <v>268</v>
      </c>
      <c r="F28">
        <f>IF(B28=1,annot_records!G28-(annot_records!E28+annot_records!I28)/2,-1)</f>
        <v>1829</v>
      </c>
      <c r="G28">
        <f>IF(B28=2,annot_records!O28-(annot_records!M28+annot_records!K28)*(annot_records!L28-annot_records!J28)/2,-1)</f>
        <v>-1</v>
      </c>
      <c r="H28">
        <f>IF(B28=2,annot_records!N28,-1)</f>
        <v>-1</v>
      </c>
    </row>
    <row r="29" spans="1:8" x14ac:dyDescent="0.25">
      <c r="A29">
        <f>annot_records!A29</f>
        <v>14</v>
      </c>
      <c r="B29">
        <f>IF(annot_records!B29="峰标注",1,2)</f>
        <v>1</v>
      </c>
      <c r="C29">
        <f>IF(B29=1,annot_records!D29,annot_records!J29)</f>
        <v>263</v>
      </c>
      <c r="D29">
        <f>IF(B29=1,annot_records!H29,annot_records!L29)</f>
        <v>294</v>
      </c>
      <c r="E29">
        <f>IF(B29=1,annot_records!F29,-1)</f>
        <v>275</v>
      </c>
      <c r="F29">
        <f>IF(B29=1,annot_records!G29-(annot_records!E29+annot_records!I29)/2,-1)</f>
        <v>1244</v>
      </c>
      <c r="G29">
        <f>IF(B29=2,annot_records!O29-(annot_records!M29+annot_records!K29)*(annot_records!L29-annot_records!J29)/2,-1)</f>
        <v>-1</v>
      </c>
      <c r="H29">
        <f>IF(B29=2,annot_records!N29,-1)</f>
        <v>-1</v>
      </c>
    </row>
    <row r="30" spans="1:8" x14ac:dyDescent="0.25">
      <c r="A30">
        <f>annot_records!A30</f>
        <v>15</v>
      </c>
      <c r="B30">
        <f>IF(annot_records!B30="峰标注",1,2)</f>
        <v>1</v>
      </c>
      <c r="C30">
        <f>IF(B30=1,annot_records!D30,annot_records!J30)</f>
        <v>261</v>
      </c>
      <c r="D30">
        <f>IF(B30=1,annot_records!H30,annot_records!L30)</f>
        <v>297</v>
      </c>
      <c r="E30">
        <f>IF(B30=1,annot_records!F30,-1)</f>
        <v>276</v>
      </c>
      <c r="F30">
        <f>IF(B30=1,annot_records!G30-(annot_records!E30+annot_records!I30)/2,-1)</f>
        <v>1163</v>
      </c>
      <c r="G30">
        <f>IF(B30=2,annot_records!O30-(annot_records!M30+annot_records!K30)*(annot_records!L30-annot_records!J30)/2,-1)</f>
        <v>-1</v>
      </c>
      <c r="H30">
        <f>IF(B30=2,annot_records!N30,-1)</f>
        <v>-1</v>
      </c>
    </row>
    <row r="31" spans="1:8" x14ac:dyDescent="0.25">
      <c r="A31">
        <f>annot_records!A31</f>
        <v>16</v>
      </c>
      <c r="B31">
        <f>IF(annot_records!B31="峰标注",1,2)</f>
        <v>1</v>
      </c>
      <c r="C31">
        <f>IF(B31=1,annot_records!D31,annot_records!J31)</f>
        <v>266</v>
      </c>
      <c r="D31">
        <f>IF(B31=1,annot_records!H31,annot_records!L31)</f>
        <v>299</v>
      </c>
      <c r="E31">
        <f>IF(B31=1,annot_records!F31,-1)</f>
        <v>283</v>
      </c>
      <c r="F31">
        <f>IF(B31=1,annot_records!G31-(annot_records!E31+annot_records!I31)/2,-1)</f>
        <v>851.5</v>
      </c>
      <c r="G31">
        <f>IF(B31=2,annot_records!O31-(annot_records!M31+annot_records!K31)*(annot_records!L31-annot_records!J31)/2,-1)</f>
        <v>-1</v>
      </c>
      <c r="H31">
        <f>IF(B31=2,annot_records!N31,-1)</f>
        <v>-1</v>
      </c>
    </row>
    <row r="32" spans="1:8" x14ac:dyDescent="0.25">
      <c r="A32">
        <f>annot_records!A32</f>
        <v>17</v>
      </c>
      <c r="B32">
        <f>IF(annot_records!B32="峰标注",1,2)</f>
        <v>2</v>
      </c>
      <c r="C32">
        <f>IF(B32=1,annot_records!D32,annot_records!J32)</f>
        <v>268</v>
      </c>
      <c r="D32">
        <f>IF(B32=1,annot_records!H32,annot_records!L32)</f>
        <v>401</v>
      </c>
      <c r="E32">
        <f>IF(B32=1,annot_records!F32,-1)</f>
        <v>-1</v>
      </c>
      <c r="F32">
        <f>IF(B32=1,annot_records!G32-(annot_records!E32+annot_records!I32)/2,-1)</f>
        <v>-1</v>
      </c>
      <c r="G32">
        <f>IF(B32=2,annot_records!O32-(annot_records!M32+annot_records!K32)*(annot_records!L32-annot_records!J32)/2,-1)</f>
        <v>69969</v>
      </c>
      <c r="H32">
        <f>IF(B32=2,annot_records!N32,-1)</f>
        <v>2</v>
      </c>
    </row>
    <row r="33" spans="1:8" ht="17" customHeight="1" x14ac:dyDescent="0.25">
      <c r="A33">
        <f>annot_records!A33</f>
        <v>18</v>
      </c>
      <c r="B33">
        <f>IF(annot_records!B33="峰标注",1,2)</f>
        <v>2</v>
      </c>
      <c r="C33">
        <f>IF(B33=1,annot_records!D33,annot_records!J33)</f>
        <v>269</v>
      </c>
      <c r="D33">
        <f>IF(B33=1,annot_records!H33,annot_records!L33)</f>
        <v>372</v>
      </c>
      <c r="E33">
        <f>IF(B33=1,annot_records!F33,-1)</f>
        <v>-1</v>
      </c>
      <c r="F33">
        <f>IF(B33=1,annot_records!G33-(annot_records!E33+annot_records!I33)/2,-1)</f>
        <v>-1</v>
      </c>
      <c r="G33">
        <f>IF(B33=2,annot_records!O33-(annot_records!M33+annot_records!K33)*(annot_records!L33-annot_records!J33)/2,-1)</f>
        <v>34773</v>
      </c>
      <c r="H33">
        <f>IF(B33=2,annot_records!N33,-1)</f>
        <v>2</v>
      </c>
    </row>
    <row r="34" spans="1:8" x14ac:dyDescent="0.25">
      <c r="A34">
        <f>annot_records!A34</f>
        <v>19</v>
      </c>
      <c r="B34">
        <f>IF(annot_records!B34="峰标注",1,2)</f>
        <v>2</v>
      </c>
      <c r="C34">
        <f>IF(B34=1,annot_records!D34,annot_records!J34)</f>
        <v>146</v>
      </c>
      <c r="D34">
        <f>IF(B34=1,annot_records!H34,annot_records!L34)</f>
        <v>176</v>
      </c>
      <c r="E34">
        <f>IF(B34=1,annot_records!F34,-1)</f>
        <v>-1</v>
      </c>
      <c r="F34">
        <f>IF(B34=1,annot_records!G34-(annot_records!E34+annot_records!I34)/2,-1)</f>
        <v>-1</v>
      </c>
      <c r="G34">
        <f>IF(B34=2,annot_records!O34-(annot_records!M34+annot_records!K34)*(annot_records!L34-annot_records!J34)/2,-1)</f>
        <v>15774</v>
      </c>
      <c r="H34">
        <f>IF(B34=2,annot_records!N34,-1)</f>
        <v>3</v>
      </c>
    </row>
    <row r="35" spans="1:8" x14ac:dyDescent="0.25">
      <c r="A35">
        <f>annot_records!A35</f>
        <v>19</v>
      </c>
      <c r="B35">
        <f>IF(annot_records!B35="峰标注",1,2)</f>
        <v>2</v>
      </c>
      <c r="C35">
        <f>IF(B35=1,annot_records!D35,annot_records!J35)</f>
        <v>177</v>
      </c>
      <c r="D35">
        <f>IF(B35=1,annot_records!H35,annot_records!L35)</f>
        <v>199</v>
      </c>
      <c r="E35">
        <f>IF(B35=1,annot_records!F35,-1)</f>
        <v>-1</v>
      </c>
      <c r="F35">
        <f>IF(B35=1,annot_records!G35-(annot_records!E35+annot_records!I35)/2,-1)</f>
        <v>-1</v>
      </c>
      <c r="G35">
        <f>IF(B35=2,annot_records!O35-(annot_records!M35+annot_records!K35)*(annot_records!L35-annot_records!J35)/2,-1)</f>
        <v>20796</v>
      </c>
      <c r="H35">
        <f>IF(B35=2,annot_records!N35,-1)</f>
        <v>2</v>
      </c>
    </row>
    <row r="36" spans="1:8" x14ac:dyDescent="0.25">
      <c r="A36">
        <f>annot_records!A36</f>
        <v>19</v>
      </c>
      <c r="B36">
        <f>IF(annot_records!B36="峰标注",1,2)</f>
        <v>2</v>
      </c>
      <c r="C36">
        <f>IF(B36=1,annot_records!D36,annot_records!J36)</f>
        <v>199</v>
      </c>
      <c r="D36">
        <f>IF(B36=1,annot_records!H36,annot_records!L36)</f>
        <v>229</v>
      </c>
      <c r="E36">
        <f>IF(B36=1,annot_records!F36,-1)</f>
        <v>-1</v>
      </c>
      <c r="F36">
        <f>IF(B36=1,annot_records!G36-(annot_records!E36+annot_records!I36)/2,-1)</f>
        <v>-1</v>
      </c>
      <c r="G36">
        <f>IF(B36=2,annot_records!O36-(annot_records!M36+annot_records!K36)*(annot_records!L36-annot_records!J36)/2,-1)</f>
        <v>13937</v>
      </c>
      <c r="H36">
        <f>IF(B36=2,annot_records!N36,-1)</f>
        <v>2</v>
      </c>
    </row>
    <row r="37" spans="1:8" x14ac:dyDescent="0.25">
      <c r="A37">
        <f>annot_records!A37</f>
        <v>19</v>
      </c>
      <c r="B37">
        <f>IF(annot_records!B37="峰标注",1,2)</f>
        <v>1</v>
      </c>
      <c r="C37">
        <f>IF(B37=1,annot_records!D37,annot_records!J37)</f>
        <v>229</v>
      </c>
      <c r="D37">
        <f>IF(B37=1,annot_records!H37,annot_records!L37)</f>
        <v>248</v>
      </c>
      <c r="E37">
        <f>IF(B37=1,annot_records!F37,-1)</f>
        <v>240</v>
      </c>
      <c r="F37">
        <f>IF(B37=1,annot_records!G37-(annot_records!E37+annot_records!I37)/2,-1)</f>
        <v>2116</v>
      </c>
      <c r="G37">
        <f>IF(B37=2,annot_records!O37-(annot_records!M37+annot_records!K37)*(annot_records!L37-annot_records!J37)/2,-1)</f>
        <v>-1</v>
      </c>
      <c r="H37">
        <f>IF(B37=2,annot_records!N37,-1)</f>
        <v>-1</v>
      </c>
    </row>
    <row r="38" spans="1:8" x14ac:dyDescent="0.25">
      <c r="A38">
        <f>annot_records!A38</f>
        <v>19</v>
      </c>
      <c r="B38">
        <f>IF(annot_records!B38="峰标注",1,2)</f>
        <v>1</v>
      </c>
      <c r="C38">
        <f>IF(B38=1,annot_records!D38,annot_records!J38)</f>
        <v>248</v>
      </c>
      <c r="D38">
        <f>IF(B38=1,annot_records!H38,annot_records!L38)</f>
        <v>269</v>
      </c>
      <c r="E38">
        <f>IF(B38=1,annot_records!F38,-1)</f>
        <v>263</v>
      </c>
      <c r="F38">
        <f>IF(B38=1,annot_records!G38-(annot_records!E38+annot_records!I38)/2,-1)</f>
        <v>2230</v>
      </c>
      <c r="G38">
        <f>IF(B38=2,annot_records!O38-(annot_records!M38+annot_records!K38)*(annot_records!L38-annot_records!J38)/2,-1)</f>
        <v>-1</v>
      </c>
      <c r="H38">
        <f>IF(B38=2,annot_records!N38,-1)</f>
        <v>-1</v>
      </c>
    </row>
    <row r="39" spans="1:8" x14ac:dyDescent="0.25">
      <c r="A39">
        <f>annot_records!A39</f>
        <v>19</v>
      </c>
      <c r="B39">
        <f>IF(annot_records!B39="峰标注",1,2)</f>
        <v>1</v>
      </c>
      <c r="C39">
        <f>IF(B39=1,annot_records!D39,annot_records!J39)</f>
        <v>352</v>
      </c>
      <c r="D39">
        <f>IF(B39=1,annot_records!H39,annot_records!L39)</f>
        <v>382</v>
      </c>
      <c r="E39">
        <f>IF(B39=1,annot_records!F39,-1)</f>
        <v>371</v>
      </c>
      <c r="F39">
        <f>IF(B39=1,annot_records!G39-(annot_records!E39+annot_records!I39)/2,-1)</f>
        <v>1757.5</v>
      </c>
      <c r="G39">
        <f>IF(B39=2,annot_records!O39-(annot_records!M39+annot_records!K39)*(annot_records!L39-annot_records!J39)/2,-1)</f>
        <v>-1</v>
      </c>
      <c r="H39">
        <f>IF(B39=2,annot_records!N39,-1)</f>
        <v>-1</v>
      </c>
    </row>
    <row r="40" spans="1:8" x14ac:dyDescent="0.25">
      <c r="A40">
        <f>annot_records!A40</f>
        <v>19</v>
      </c>
      <c r="B40">
        <f>IF(annot_records!B40="峰标注",1,2)</f>
        <v>2</v>
      </c>
      <c r="C40">
        <f>IF(B40=1,annot_records!D40,annot_records!J40)</f>
        <v>418</v>
      </c>
      <c r="D40">
        <f>IF(B40=1,annot_records!H40,annot_records!L40)</f>
        <v>468</v>
      </c>
      <c r="E40">
        <f>IF(B40=1,annot_records!F40,-1)</f>
        <v>-1</v>
      </c>
      <c r="F40">
        <f>IF(B40=1,annot_records!G40-(annot_records!E40+annot_records!I40)/2,-1)</f>
        <v>-1</v>
      </c>
      <c r="G40">
        <f>IF(B40=2,annot_records!O40-(annot_records!M40+annot_records!K40)*(annot_records!L40-annot_records!J40)/2,-1)</f>
        <v>193514</v>
      </c>
      <c r="H40">
        <f>IF(B40=2,annot_records!N40,-1)</f>
        <v>4</v>
      </c>
    </row>
    <row r="41" spans="1:8" x14ac:dyDescent="0.25">
      <c r="A41">
        <f>annot_records!A41</f>
        <v>20</v>
      </c>
      <c r="B41">
        <f>IF(annot_records!B41="峰标注",1,2)</f>
        <v>2</v>
      </c>
      <c r="C41">
        <f>IF(B41=1,annot_records!D41,annot_records!J41)</f>
        <v>181</v>
      </c>
      <c r="D41">
        <f>IF(B41=1,annot_records!H41,annot_records!L41)</f>
        <v>241</v>
      </c>
      <c r="E41">
        <f>IF(B41=1,annot_records!F41,-1)</f>
        <v>-1</v>
      </c>
      <c r="F41">
        <f>IF(B41=1,annot_records!G41-(annot_records!E41+annot_records!I41)/2,-1)</f>
        <v>-1</v>
      </c>
      <c r="G41">
        <f>IF(B41=2,annot_records!O41-(annot_records!M41+annot_records!K41)*(annot_records!L41-annot_records!J41)/2,-1)</f>
        <v>135260</v>
      </c>
      <c r="H41">
        <f>IF(B41=2,annot_records!N41,-1)</f>
        <v>2</v>
      </c>
    </row>
    <row r="42" spans="1:8" x14ac:dyDescent="0.25">
      <c r="A42">
        <f>annot_records!A42</f>
        <v>21</v>
      </c>
      <c r="B42">
        <f>IF(annot_records!B42="峰标注",1,2)</f>
        <v>1</v>
      </c>
      <c r="C42">
        <f>IF(B42=1,annot_records!D42,annot_records!J42)</f>
        <v>426</v>
      </c>
      <c r="D42">
        <f>IF(B42=1,annot_records!H42,annot_records!L42)</f>
        <v>444</v>
      </c>
      <c r="E42">
        <f>IF(B42=1,annot_records!F42,-1)</f>
        <v>433</v>
      </c>
      <c r="F42">
        <f>IF(B42=1,annot_records!G42-(annot_records!E42+annot_records!I42)/2,-1)</f>
        <v>18390</v>
      </c>
      <c r="G42">
        <f>IF(B42=2,annot_records!O42-(annot_records!M42+annot_records!K42)*(annot_records!L42-annot_records!J42)/2,-1)</f>
        <v>-1</v>
      </c>
      <c r="H42">
        <f>IF(B42=2,annot_records!N42,-1)</f>
        <v>-1</v>
      </c>
    </row>
    <row r="43" spans="1:8" x14ac:dyDescent="0.25">
      <c r="A43">
        <f>annot_records!A43</f>
        <v>21</v>
      </c>
      <c r="B43">
        <f>IF(annot_records!B43="峰标注",1,2)</f>
        <v>1</v>
      </c>
      <c r="C43">
        <f>IF(B43=1,annot_records!D43,annot_records!J43)</f>
        <v>448</v>
      </c>
      <c r="D43">
        <f>IF(B43=1,annot_records!H43,annot_records!L43)</f>
        <v>499</v>
      </c>
      <c r="E43">
        <f>IF(B43=1,annot_records!F43,-1)</f>
        <v>472</v>
      </c>
      <c r="F43">
        <f>IF(B43=1,annot_records!G43-(annot_records!E43+annot_records!I43)/2,-1)</f>
        <v>2486</v>
      </c>
      <c r="G43">
        <f>IF(B43=2,annot_records!O43-(annot_records!M43+annot_records!K43)*(annot_records!L43-annot_records!J43)/2,-1)</f>
        <v>-1</v>
      </c>
      <c r="H43">
        <f>IF(B43=2,annot_records!N43,-1)</f>
        <v>-1</v>
      </c>
    </row>
    <row r="44" spans="1:8" x14ac:dyDescent="0.25">
      <c r="A44">
        <f>annot_records!A44</f>
        <v>22</v>
      </c>
      <c r="B44">
        <f>IF(annot_records!B44="峰标注",1,2)</f>
        <v>1</v>
      </c>
      <c r="C44">
        <f>IF(B44=1,annot_records!D44,annot_records!J44)</f>
        <v>194</v>
      </c>
      <c r="D44">
        <f>IF(B44=1,annot_records!H44,annot_records!L44)</f>
        <v>219</v>
      </c>
      <c r="E44">
        <f>IF(B44=1,annot_records!F44,-1)</f>
        <v>210</v>
      </c>
      <c r="F44">
        <f>IF(B44=1,annot_records!G44-(annot_records!E44+annot_records!I44)/2,-1)</f>
        <v>3694.5</v>
      </c>
      <c r="G44">
        <f>IF(B44=2,annot_records!O44-(annot_records!M44+annot_records!K44)*(annot_records!L44-annot_records!J44)/2,-1)</f>
        <v>-1</v>
      </c>
      <c r="H44">
        <f>IF(B44=2,annot_records!N44,-1)</f>
        <v>-1</v>
      </c>
    </row>
    <row r="45" spans="1:8" x14ac:dyDescent="0.25">
      <c r="A45">
        <f>annot_records!A45</f>
        <v>22</v>
      </c>
      <c r="B45">
        <f>IF(annot_records!B45="峰标注",1,2)</f>
        <v>1</v>
      </c>
      <c r="C45">
        <f>IF(B45=1,annot_records!D45,annot_records!J45)</f>
        <v>426</v>
      </c>
      <c r="D45">
        <f>IF(B45=1,annot_records!H45,annot_records!L45)</f>
        <v>440</v>
      </c>
      <c r="E45">
        <f>IF(B45=1,annot_records!F45,-1)</f>
        <v>431</v>
      </c>
      <c r="F45">
        <f>IF(B45=1,annot_records!G45-(annot_records!E45+annot_records!I45)/2,-1)</f>
        <v>18543</v>
      </c>
      <c r="G45">
        <f>IF(B45=2,annot_records!O45-(annot_records!M45+annot_records!K45)*(annot_records!L45-annot_records!J45)/2,-1)</f>
        <v>-1</v>
      </c>
      <c r="H45">
        <f>IF(B45=2,annot_records!N45,-1)</f>
        <v>-1</v>
      </c>
    </row>
    <row r="46" spans="1:8" x14ac:dyDescent="0.25">
      <c r="A46">
        <f>annot_records!A46</f>
        <v>22</v>
      </c>
      <c r="B46">
        <f>IF(annot_records!B46="峰标注",1,2)</f>
        <v>1</v>
      </c>
      <c r="C46">
        <f>IF(B46=1,annot_records!D46,annot_records!J46)</f>
        <v>442</v>
      </c>
      <c r="D46">
        <f>IF(B46=1,annot_records!H46,annot_records!L46)</f>
        <v>499</v>
      </c>
      <c r="E46">
        <f>IF(B46=1,annot_records!F46,-1)</f>
        <v>474</v>
      </c>
      <c r="F46">
        <f>IF(B46=1,annot_records!G46-(annot_records!E46+annot_records!I46)/2,-1)</f>
        <v>2397</v>
      </c>
      <c r="G46">
        <f>IF(B46=2,annot_records!O46-(annot_records!M46+annot_records!K46)*(annot_records!L46-annot_records!J46)/2,-1)</f>
        <v>-1</v>
      </c>
      <c r="H46">
        <f>IF(B46=2,annot_records!N46,-1)</f>
        <v>-1</v>
      </c>
    </row>
    <row r="47" spans="1:8" x14ac:dyDescent="0.25">
      <c r="A47">
        <f>annot_records!A47</f>
        <v>23</v>
      </c>
      <c r="B47">
        <f>IF(annot_records!B47="峰标注",1,2)</f>
        <v>1</v>
      </c>
      <c r="C47">
        <f>IF(B47=1,annot_records!D47,annot_records!J47)</f>
        <v>194</v>
      </c>
      <c r="D47">
        <f>IF(B47=1,annot_records!H47,annot_records!L47)</f>
        <v>216</v>
      </c>
      <c r="E47">
        <f>IF(B47=1,annot_records!F47,-1)</f>
        <v>208</v>
      </c>
      <c r="F47">
        <f>IF(B47=1,annot_records!G47-(annot_records!E47+annot_records!I47)/2,-1)</f>
        <v>2787.5</v>
      </c>
      <c r="G47">
        <f>IF(B47=2,annot_records!O47-(annot_records!M47+annot_records!K47)*(annot_records!L47-annot_records!J47)/2,-1)</f>
        <v>-1</v>
      </c>
      <c r="H47">
        <f>IF(B47=2,annot_records!N47,-1)</f>
        <v>-1</v>
      </c>
    </row>
    <row r="48" spans="1:8" x14ac:dyDescent="0.25">
      <c r="A48">
        <f>annot_records!A48</f>
        <v>23</v>
      </c>
      <c r="B48">
        <f>IF(annot_records!B48="峰标注",1,2)</f>
        <v>1</v>
      </c>
      <c r="C48">
        <f>IF(B48=1,annot_records!D48,annot_records!J48)</f>
        <v>424</v>
      </c>
      <c r="D48">
        <f>IF(B48=1,annot_records!H48,annot_records!L48)</f>
        <v>439</v>
      </c>
      <c r="E48">
        <f>IF(B48=1,annot_records!F48,-1)</f>
        <v>430</v>
      </c>
      <c r="F48">
        <f>IF(B48=1,annot_records!G48-(annot_records!E48+annot_records!I48)/2,-1)</f>
        <v>19296.5</v>
      </c>
      <c r="G48">
        <f>IF(B48=2,annot_records!O48-(annot_records!M48+annot_records!K48)*(annot_records!L48-annot_records!J48)/2,-1)</f>
        <v>-1</v>
      </c>
      <c r="H48">
        <f>IF(B48=2,annot_records!N48,-1)</f>
        <v>-1</v>
      </c>
    </row>
    <row r="49" spans="1:8" x14ac:dyDescent="0.25">
      <c r="A49">
        <f>annot_records!A49</f>
        <v>24</v>
      </c>
      <c r="B49">
        <f>IF(annot_records!B49="峰标注",1,2)</f>
        <v>1</v>
      </c>
      <c r="C49">
        <f>IF(B49=1,annot_records!D49,annot_records!J49)</f>
        <v>190</v>
      </c>
      <c r="D49">
        <f>IF(B49=1,annot_records!H49,annot_records!L49)</f>
        <v>222</v>
      </c>
      <c r="E49">
        <f>IF(B49=1,annot_records!F49,-1)</f>
        <v>209</v>
      </c>
      <c r="F49">
        <f>IF(B49=1,annot_records!G49-(annot_records!E49+annot_records!I49)/2,-1)</f>
        <v>3998</v>
      </c>
      <c r="G49">
        <f>IF(B49=2,annot_records!O49-(annot_records!M49+annot_records!K49)*(annot_records!L49-annot_records!J49)/2,-1)</f>
        <v>-1</v>
      </c>
      <c r="H49">
        <f>IF(B49=2,annot_records!N49,-1)</f>
        <v>-1</v>
      </c>
    </row>
    <row r="50" spans="1:8" x14ac:dyDescent="0.25">
      <c r="A50">
        <f>annot_records!A50</f>
        <v>24</v>
      </c>
      <c r="B50">
        <f>IF(annot_records!B50="峰标注",1,2)</f>
        <v>1</v>
      </c>
      <c r="C50">
        <f>IF(B50=1,annot_records!D50,annot_records!J50)</f>
        <v>421</v>
      </c>
      <c r="D50">
        <f>IF(B50=1,annot_records!H50,annot_records!L50)</f>
        <v>439</v>
      </c>
      <c r="E50">
        <f>IF(B50=1,annot_records!F50,-1)</f>
        <v>426</v>
      </c>
      <c r="F50">
        <f>IF(B50=1,annot_records!G50-(annot_records!E50+annot_records!I50)/2,-1)</f>
        <v>11968.5</v>
      </c>
      <c r="G50">
        <f>IF(B50=2,annot_records!O50-(annot_records!M50+annot_records!K50)*(annot_records!L50-annot_records!J50)/2,-1)</f>
        <v>-1</v>
      </c>
      <c r="H50">
        <f>IF(B50=2,annot_records!N50,-1)</f>
        <v>-1</v>
      </c>
    </row>
    <row r="51" spans="1:8" x14ac:dyDescent="0.25">
      <c r="A51">
        <f>annot_records!A51</f>
        <v>25</v>
      </c>
      <c r="B51">
        <f>IF(annot_records!B51="峰标注",1,2)</f>
        <v>1</v>
      </c>
      <c r="C51">
        <f>IF(B51=1,annot_records!D51,annot_records!J51)</f>
        <v>99</v>
      </c>
      <c r="D51">
        <f>IF(B51=1,annot_records!H51,annot_records!L51)</f>
        <v>124</v>
      </c>
      <c r="E51">
        <f>IF(B51=1,annot_records!F51,-1)</f>
        <v>116</v>
      </c>
      <c r="F51">
        <f>IF(B51=1,annot_records!G51-(annot_records!E51+annot_records!I51)/2,-1)</f>
        <v>895.5</v>
      </c>
      <c r="G51">
        <f>IF(B51=2,annot_records!O51-(annot_records!M51+annot_records!K51)*(annot_records!L51-annot_records!J51)/2,-1)</f>
        <v>-1</v>
      </c>
      <c r="H51">
        <f>IF(B51=2,annot_records!N51,-1)</f>
        <v>-1</v>
      </c>
    </row>
    <row r="52" spans="1:8" x14ac:dyDescent="0.25">
      <c r="A52">
        <f>annot_records!A52</f>
        <v>25</v>
      </c>
      <c r="B52">
        <f>IF(annot_records!B52="峰标注",1,2)</f>
        <v>1</v>
      </c>
      <c r="C52">
        <f>IF(B52=1,annot_records!D52,annot_records!J52)</f>
        <v>201</v>
      </c>
      <c r="D52">
        <f>IF(B52=1,annot_records!H52,annot_records!L52)</f>
        <v>221</v>
      </c>
      <c r="E52">
        <f>IF(B52=1,annot_records!F52,-1)</f>
        <v>210</v>
      </c>
      <c r="F52">
        <f>IF(B52=1,annot_records!G52-(annot_records!E52+annot_records!I52)/2,-1)</f>
        <v>208.5</v>
      </c>
      <c r="G52">
        <f>IF(B52=2,annot_records!O52-(annot_records!M52+annot_records!K52)*(annot_records!L52-annot_records!J52)/2,-1)</f>
        <v>-1</v>
      </c>
      <c r="H52">
        <f>IF(B52=2,annot_records!N52,-1)</f>
        <v>-1</v>
      </c>
    </row>
    <row r="53" spans="1:8" x14ac:dyDescent="0.25">
      <c r="A53">
        <f>annot_records!A53</f>
        <v>25</v>
      </c>
      <c r="B53">
        <f>IF(annot_records!B53="峰标注",1,2)</f>
        <v>1</v>
      </c>
      <c r="C53">
        <f>IF(B53=1,annot_records!D53,annot_records!J53)</f>
        <v>348</v>
      </c>
      <c r="D53">
        <f>IF(B53=1,annot_records!H53,annot_records!L53)</f>
        <v>373</v>
      </c>
      <c r="E53">
        <f>IF(B53=1,annot_records!F53,-1)</f>
        <v>362</v>
      </c>
      <c r="F53">
        <f>IF(B53=1,annot_records!G53-(annot_records!E53+annot_records!I53)/2,-1)</f>
        <v>211.5</v>
      </c>
      <c r="G53">
        <f>IF(B53=2,annot_records!O53-(annot_records!M53+annot_records!K53)*(annot_records!L53-annot_records!J53)/2,-1)</f>
        <v>-1</v>
      </c>
      <c r="H53">
        <f>IF(B53=2,annot_records!N53,-1)</f>
        <v>-1</v>
      </c>
    </row>
    <row r="54" spans="1:8" x14ac:dyDescent="0.25">
      <c r="A54">
        <f>annot_records!A54</f>
        <v>26</v>
      </c>
      <c r="B54">
        <f>IF(annot_records!B54="峰标注",1,2)</f>
        <v>1</v>
      </c>
      <c r="C54">
        <f>IF(B54=1,annot_records!D54,annot_records!J54)</f>
        <v>96</v>
      </c>
      <c r="D54">
        <f>IF(B54=1,annot_records!H54,annot_records!L54)</f>
        <v>121</v>
      </c>
      <c r="E54">
        <f>IF(B54=1,annot_records!F54,-1)</f>
        <v>113</v>
      </c>
      <c r="F54">
        <f>IF(B54=1,annot_records!G54-(annot_records!E54+annot_records!I54)/2,-1)</f>
        <v>1572</v>
      </c>
      <c r="G54">
        <f>IF(B54=2,annot_records!O54-(annot_records!M54+annot_records!K54)*(annot_records!L54-annot_records!J54)/2,-1)</f>
        <v>-1</v>
      </c>
      <c r="H54">
        <f>IF(B54=2,annot_records!N54,-1)</f>
        <v>-1</v>
      </c>
    </row>
    <row r="55" spans="1:8" x14ac:dyDescent="0.25">
      <c r="A55">
        <f>annot_records!A55</f>
        <v>26</v>
      </c>
      <c r="B55">
        <f>IF(annot_records!B55="峰标注",1,2)</f>
        <v>1</v>
      </c>
      <c r="C55">
        <f>IF(B55=1,annot_records!D55,annot_records!J55)</f>
        <v>198</v>
      </c>
      <c r="D55">
        <f>IF(B55=1,annot_records!H55,annot_records!L55)</f>
        <v>216</v>
      </c>
      <c r="E55">
        <f>IF(B55=1,annot_records!F55,-1)</f>
        <v>207</v>
      </c>
      <c r="F55">
        <f>IF(B55=1,annot_records!G55-(annot_records!E55+annot_records!I55)/2,-1)</f>
        <v>339</v>
      </c>
      <c r="G55">
        <f>IF(B55=2,annot_records!O55-(annot_records!M55+annot_records!K55)*(annot_records!L55-annot_records!J55)/2,-1)</f>
        <v>-1</v>
      </c>
      <c r="H55">
        <f>IF(B55=2,annot_records!N55,-1)</f>
        <v>-1</v>
      </c>
    </row>
    <row r="56" spans="1:8" x14ac:dyDescent="0.25">
      <c r="A56">
        <f>annot_records!A56</f>
        <v>26</v>
      </c>
      <c r="B56">
        <f>IF(annot_records!B56="峰标注",1,2)</f>
        <v>1</v>
      </c>
      <c r="C56">
        <f>IF(B56=1,annot_records!D56,annot_records!J56)</f>
        <v>341</v>
      </c>
      <c r="D56">
        <f>IF(B56=1,annot_records!H56,annot_records!L56)</f>
        <v>370</v>
      </c>
      <c r="E56">
        <f>IF(B56=1,annot_records!F56,-1)</f>
        <v>361</v>
      </c>
      <c r="F56">
        <f>IF(B56=1,annot_records!G56-(annot_records!E56+annot_records!I56)/2,-1)</f>
        <v>419.5</v>
      </c>
      <c r="G56">
        <f>IF(B56=2,annot_records!O56-(annot_records!M56+annot_records!K56)*(annot_records!L56-annot_records!J56)/2,-1)</f>
        <v>-1</v>
      </c>
      <c r="H56">
        <f>IF(B56=2,annot_records!N56,-1)</f>
        <v>-1</v>
      </c>
    </row>
    <row r="57" spans="1:8" x14ac:dyDescent="0.25">
      <c r="A57">
        <f>annot_records!A57</f>
        <v>27</v>
      </c>
      <c r="B57">
        <f>IF(annot_records!B57="峰标注",1,2)</f>
        <v>1</v>
      </c>
      <c r="C57">
        <f>IF(B57=1,annot_records!D57,annot_records!J57)</f>
        <v>96</v>
      </c>
      <c r="D57">
        <f>IF(B57=1,annot_records!H57,annot_records!L57)</f>
        <v>118</v>
      </c>
      <c r="E57">
        <f>IF(B57=1,annot_records!F57,-1)</f>
        <v>111</v>
      </c>
      <c r="F57">
        <f>IF(B57=1,annot_records!G57-(annot_records!E57+annot_records!I57)/2,-1)</f>
        <v>1637</v>
      </c>
      <c r="G57">
        <f>IF(B57=2,annot_records!O57-(annot_records!M57+annot_records!K57)*(annot_records!L57-annot_records!J57)/2,-1)</f>
        <v>-1</v>
      </c>
      <c r="H57">
        <f>IF(B57=2,annot_records!N57,-1)</f>
        <v>-1</v>
      </c>
    </row>
    <row r="58" spans="1:8" x14ac:dyDescent="0.25">
      <c r="A58">
        <f>annot_records!A58</f>
        <v>27</v>
      </c>
      <c r="B58">
        <f>IF(annot_records!B58="峰标注",1,2)</f>
        <v>1</v>
      </c>
      <c r="C58">
        <f>IF(B58=1,annot_records!D58,annot_records!J58)</f>
        <v>197</v>
      </c>
      <c r="D58">
        <f>IF(B58=1,annot_records!H58,annot_records!L58)</f>
        <v>212</v>
      </c>
      <c r="E58">
        <f>IF(B58=1,annot_records!F58,-1)</f>
        <v>204</v>
      </c>
      <c r="F58">
        <f>IF(B58=1,annot_records!G58-(annot_records!E58+annot_records!I58)/2,-1)</f>
        <v>439</v>
      </c>
      <c r="G58">
        <f>IF(B58=2,annot_records!O58-(annot_records!M58+annot_records!K58)*(annot_records!L58-annot_records!J58)/2,-1)</f>
        <v>-1</v>
      </c>
      <c r="H58">
        <f>IF(B58=2,annot_records!N58,-1)</f>
        <v>-1</v>
      </c>
    </row>
    <row r="59" spans="1:8" x14ac:dyDescent="0.25">
      <c r="A59">
        <f>annot_records!A59</f>
        <v>27</v>
      </c>
      <c r="B59">
        <f>IF(annot_records!B59="峰标注",1,2)</f>
        <v>1</v>
      </c>
      <c r="C59">
        <f>IF(B59=1,annot_records!D59,annot_records!J59)</f>
        <v>341</v>
      </c>
      <c r="D59">
        <f>IF(B59=1,annot_records!H59,annot_records!L59)</f>
        <v>373</v>
      </c>
      <c r="E59">
        <f>IF(B59=1,annot_records!F59,-1)</f>
        <v>361</v>
      </c>
      <c r="F59">
        <f>IF(B59=1,annot_records!G59-(annot_records!E59+annot_records!I59)/2,-1)</f>
        <v>908</v>
      </c>
      <c r="G59">
        <f>IF(B59=2,annot_records!O59-(annot_records!M59+annot_records!K59)*(annot_records!L59-annot_records!J59)/2,-1)</f>
        <v>-1</v>
      </c>
      <c r="H59">
        <f>IF(B59=2,annot_records!N59,-1)</f>
        <v>-1</v>
      </c>
    </row>
    <row r="60" spans="1:8" x14ac:dyDescent="0.25">
      <c r="A60">
        <f>annot_records!A60</f>
        <v>28</v>
      </c>
      <c r="B60">
        <f>IF(annot_records!B60="峰标注",1,2)</f>
        <v>1</v>
      </c>
      <c r="C60">
        <f>IF(B60=1,annot_records!D60,annot_records!J60)</f>
        <v>95</v>
      </c>
      <c r="D60">
        <f>IF(B60=1,annot_records!H60,annot_records!L60)</f>
        <v>108</v>
      </c>
      <c r="E60">
        <f>IF(B60=1,annot_records!F60,-1)</f>
        <v>104</v>
      </c>
      <c r="F60">
        <f>IF(B60=1,annot_records!G60-(annot_records!E60+annot_records!I60)/2,-1)</f>
        <v>1216</v>
      </c>
      <c r="G60">
        <f>IF(B60=2,annot_records!O60-(annot_records!M60+annot_records!K60)*(annot_records!L60-annot_records!J60)/2,-1)</f>
        <v>-1</v>
      </c>
      <c r="H60">
        <f>IF(B60=2,annot_records!N60,-1)</f>
        <v>-1</v>
      </c>
    </row>
    <row r="61" spans="1:8" x14ac:dyDescent="0.25">
      <c r="A61">
        <f>annot_records!A61</f>
        <v>28</v>
      </c>
      <c r="B61">
        <f>IF(annot_records!B61="峰标注",1,2)</f>
        <v>2</v>
      </c>
      <c r="C61">
        <f>IF(B61=1,annot_records!D61,annot_records!J61)</f>
        <v>184</v>
      </c>
      <c r="D61">
        <f>IF(B61=1,annot_records!H61,annot_records!L61)</f>
        <v>209</v>
      </c>
      <c r="E61">
        <f>IF(B61=1,annot_records!F61,-1)</f>
        <v>-1</v>
      </c>
      <c r="F61">
        <f>IF(B61=1,annot_records!G61-(annot_records!E61+annot_records!I61)/2,-1)</f>
        <v>-1</v>
      </c>
      <c r="G61">
        <f>IF(B61=2,annot_records!O61-(annot_records!M61+annot_records!K61)*(annot_records!L61-annot_records!J61)/2,-1)</f>
        <v>6710</v>
      </c>
      <c r="H61">
        <f>IF(B61=2,annot_records!N61,-1)</f>
        <v>2</v>
      </c>
    </row>
    <row r="62" spans="1:8" x14ac:dyDescent="0.25">
      <c r="A62">
        <f>annot_records!A62</f>
        <v>28</v>
      </c>
      <c r="B62">
        <f>IF(annot_records!B62="峰标注",1,2)</f>
        <v>1</v>
      </c>
      <c r="C62">
        <f>IF(B62=1,annot_records!D62,annot_records!J62)</f>
        <v>338</v>
      </c>
      <c r="D62">
        <f>IF(B62=1,annot_records!H62,annot_records!L62)</f>
        <v>375</v>
      </c>
      <c r="E62">
        <f>IF(B62=1,annot_records!F62,-1)</f>
        <v>360</v>
      </c>
      <c r="F62">
        <f>IF(B62=1,annot_records!G62-(annot_records!E62+annot_records!I62)/2,-1)</f>
        <v>1539.5</v>
      </c>
      <c r="G62">
        <f>IF(B62=2,annot_records!O62-(annot_records!M62+annot_records!K62)*(annot_records!L62-annot_records!J62)/2,-1)</f>
        <v>-1</v>
      </c>
      <c r="H62">
        <f>IF(B62=2,annot_records!N62,-1)</f>
        <v>-1</v>
      </c>
    </row>
    <row r="63" spans="1:8" x14ac:dyDescent="0.25">
      <c r="A63">
        <f>annot_records!A63</f>
        <v>29</v>
      </c>
      <c r="B63">
        <f>IF(annot_records!B63="峰标注",1,2)</f>
        <v>1</v>
      </c>
      <c r="C63">
        <f>IF(B63=1,annot_records!D63,annot_records!J63)</f>
        <v>94</v>
      </c>
      <c r="D63">
        <f>IF(B63=1,annot_records!H63,annot_records!L63)</f>
        <v>109</v>
      </c>
      <c r="E63">
        <f>IF(B63=1,annot_records!F63,-1)</f>
        <v>104</v>
      </c>
      <c r="F63">
        <f>IF(B63=1,annot_records!G63-(annot_records!E63+annot_records!I63)/2,-1)</f>
        <v>1585</v>
      </c>
      <c r="G63">
        <f>IF(B63=2,annot_records!O63-(annot_records!M63+annot_records!K63)*(annot_records!L63-annot_records!J63)/2,-1)</f>
        <v>-1</v>
      </c>
      <c r="H63">
        <f>IF(B63=2,annot_records!N63,-1)</f>
        <v>-1</v>
      </c>
    </row>
    <row r="64" spans="1:8" x14ac:dyDescent="0.25">
      <c r="A64">
        <f>annot_records!A64</f>
        <v>29</v>
      </c>
      <c r="B64">
        <f>IF(annot_records!B64="峰标注",1,2)</f>
        <v>1</v>
      </c>
      <c r="C64">
        <f>IF(B64=1,annot_records!D64,annot_records!J64)</f>
        <v>337</v>
      </c>
      <c r="D64">
        <f>IF(B64=1,annot_records!H64,annot_records!L64)</f>
        <v>375</v>
      </c>
      <c r="E64">
        <f>IF(B64=1,annot_records!F64,-1)</f>
        <v>363</v>
      </c>
      <c r="F64">
        <f>IF(B64=1,annot_records!G64-(annot_records!E64+annot_records!I64)/2,-1)</f>
        <v>2705.5</v>
      </c>
      <c r="G64">
        <f>IF(B64=2,annot_records!O64-(annot_records!M64+annot_records!K64)*(annot_records!L64-annot_records!J64)/2,-1)</f>
        <v>-1</v>
      </c>
      <c r="H64">
        <f>IF(B64=2,annot_records!N64,-1)</f>
        <v>-1</v>
      </c>
    </row>
    <row r="65" spans="1:8" x14ac:dyDescent="0.25">
      <c r="A65">
        <f>annot_records!A65</f>
        <v>30</v>
      </c>
      <c r="B65">
        <f>IF(annot_records!B65="峰标注",1,2)</f>
        <v>1</v>
      </c>
      <c r="C65">
        <f>IF(B65=1,annot_records!D65,annot_records!J65)</f>
        <v>91</v>
      </c>
      <c r="D65">
        <f>IF(B65=1,annot_records!H65,annot_records!L65)</f>
        <v>111</v>
      </c>
      <c r="E65">
        <f>IF(B65=1,annot_records!F65,-1)</f>
        <v>103</v>
      </c>
      <c r="F65">
        <f>IF(B65=1,annot_records!G65-(annot_records!E65+annot_records!I65)/2,-1)</f>
        <v>2451</v>
      </c>
      <c r="G65">
        <f>IF(B65=2,annot_records!O65-(annot_records!M65+annot_records!K65)*(annot_records!L65-annot_records!J65)/2,-1)</f>
        <v>-1</v>
      </c>
      <c r="H65">
        <f>IF(B65=2,annot_records!N65,-1)</f>
        <v>-1</v>
      </c>
    </row>
    <row r="66" spans="1:8" x14ac:dyDescent="0.25">
      <c r="A66">
        <f>annot_records!A66</f>
        <v>30</v>
      </c>
      <c r="B66">
        <f>IF(annot_records!B66="峰标注",1,2)</f>
        <v>2</v>
      </c>
      <c r="C66">
        <f>IF(B66=1,annot_records!D66,annot_records!J66)</f>
        <v>220</v>
      </c>
      <c r="D66">
        <f>IF(B66=1,annot_records!H66,annot_records!L66)</f>
        <v>252</v>
      </c>
      <c r="E66">
        <f>IF(B66=1,annot_records!F66,-1)</f>
        <v>-1</v>
      </c>
      <c r="F66">
        <f>IF(B66=1,annot_records!G66-(annot_records!E66+annot_records!I66)/2,-1)</f>
        <v>-1</v>
      </c>
      <c r="G66">
        <f>IF(B66=2,annot_records!O66-(annot_records!M66+annot_records!K66)*(annot_records!L66-annot_records!J66)/2,-1)</f>
        <v>14615</v>
      </c>
      <c r="H66">
        <f>IF(B66=2,annot_records!N66,-1)</f>
        <v>2</v>
      </c>
    </row>
    <row r="67" spans="1:8" x14ac:dyDescent="0.25">
      <c r="A67">
        <f>annot_records!A67</f>
        <v>30</v>
      </c>
      <c r="B67">
        <f>IF(annot_records!B67="峰标注",1,2)</f>
        <v>1</v>
      </c>
      <c r="C67">
        <f>IF(B67=1,annot_records!D67,annot_records!J67)</f>
        <v>332</v>
      </c>
      <c r="D67">
        <f>IF(B67=1,annot_records!H67,annot_records!L67)</f>
        <v>381</v>
      </c>
      <c r="E67">
        <f>IF(B67=1,annot_records!F67,-1)</f>
        <v>367</v>
      </c>
      <c r="F67">
        <f>IF(B67=1,annot_records!G67-(annot_records!E67+annot_records!I67)/2,-1)</f>
        <v>5815</v>
      </c>
      <c r="G67">
        <f>IF(B67=2,annot_records!O67-(annot_records!M67+annot_records!K67)*(annot_records!L67-annot_records!J67)/2,-1)</f>
        <v>-1</v>
      </c>
      <c r="H67">
        <f>IF(B67=2,annot_records!N67,-1)</f>
        <v>-1</v>
      </c>
    </row>
    <row r="68" spans="1:8" x14ac:dyDescent="0.25">
      <c r="A68">
        <f>annot_records!A68</f>
        <v>31</v>
      </c>
      <c r="B68">
        <f>IF(annot_records!B68="峰标注",1,2)</f>
        <v>1</v>
      </c>
      <c r="C68">
        <f>IF(B68=1,annot_records!D68,annot_records!J68)</f>
        <v>92</v>
      </c>
      <c r="D68">
        <f>IF(B68=1,annot_records!H68,annot_records!L68)</f>
        <v>110</v>
      </c>
      <c r="E68">
        <f>IF(B68=1,annot_records!F68,-1)</f>
        <v>104</v>
      </c>
      <c r="F68">
        <f>IF(B68=1,annot_records!G68-(annot_records!E68+annot_records!I68)/2,-1)</f>
        <v>2626.5</v>
      </c>
      <c r="G68">
        <f>IF(B68=2,annot_records!O68-(annot_records!M68+annot_records!K68)*(annot_records!L68-annot_records!J68)/2,-1)</f>
        <v>-1</v>
      </c>
      <c r="H68">
        <f>IF(B68=2,annot_records!N68,-1)</f>
        <v>-1</v>
      </c>
    </row>
    <row r="69" spans="1:8" x14ac:dyDescent="0.25">
      <c r="A69">
        <f>annot_records!A69</f>
        <v>31</v>
      </c>
      <c r="B69">
        <f>IF(annot_records!B69="峰标注",1,2)</f>
        <v>1</v>
      </c>
      <c r="C69">
        <f>IF(B69=1,annot_records!D69,annot_records!J69)</f>
        <v>328</v>
      </c>
      <c r="D69">
        <f>IF(B69=1,annot_records!H69,annot_records!L69)</f>
        <v>384</v>
      </c>
      <c r="E69">
        <f>IF(B69=1,annot_records!F69,-1)</f>
        <v>368</v>
      </c>
      <c r="F69">
        <f>IF(B69=1,annot_records!G69-(annot_records!E69+annot_records!I69)/2,-1)</f>
        <v>6902</v>
      </c>
      <c r="G69">
        <f>IF(B69=2,annot_records!O69-(annot_records!M69+annot_records!K69)*(annot_records!L69-annot_records!J69)/2,-1)</f>
        <v>-1</v>
      </c>
      <c r="H69">
        <f>IF(B69=2,annot_records!N69,-1)</f>
        <v>-1</v>
      </c>
    </row>
    <row r="70" spans="1:8" x14ac:dyDescent="0.25">
      <c r="A70">
        <f>annot_records!A70</f>
        <v>32</v>
      </c>
      <c r="B70">
        <f>IF(annot_records!B70="峰标注",1,2)</f>
        <v>1</v>
      </c>
      <c r="C70">
        <f>IF(B70=1,annot_records!D70,annot_records!J70)</f>
        <v>96</v>
      </c>
      <c r="D70">
        <f>IF(B70=1,annot_records!H70,annot_records!L70)</f>
        <v>118</v>
      </c>
      <c r="E70">
        <f>IF(B70=1,annot_records!F70,-1)</f>
        <v>111</v>
      </c>
      <c r="F70">
        <f>IF(B70=1,annot_records!G70-(annot_records!E70+annot_records!I70)/2,-1)</f>
        <v>1637</v>
      </c>
      <c r="G70">
        <f>IF(B70=2,annot_records!O70-(annot_records!M70+annot_records!K70)*(annot_records!L70-annot_records!J70)/2,-1)</f>
        <v>-1</v>
      </c>
      <c r="H70">
        <f>IF(B70=2,annot_records!N70,-1)</f>
        <v>-1</v>
      </c>
    </row>
    <row r="71" spans="1:8" x14ac:dyDescent="0.25">
      <c r="A71">
        <f>annot_records!A71</f>
        <v>32</v>
      </c>
      <c r="B71">
        <f>IF(annot_records!B71="峰标注",1,2)</f>
        <v>1</v>
      </c>
      <c r="C71">
        <f>IF(B71=1,annot_records!D71,annot_records!J71)</f>
        <v>198</v>
      </c>
      <c r="D71">
        <f>IF(B71=1,annot_records!H71,annot_records!L71)</f>
        <v>210</v>
      </c>
      <c r="E71">
        <f>IF(B71=1,annot_records!F71,-1)</f>
        <v>203</v>
      </c>
      <c r="F71">
        <f>IF(B71=1,annot_records!G71-(annot_records!E71+annot_records!I71)/2,-1)</f>
        <v>382</v>
      </c>
      <c r="G71">
        <f>IF(B71=2,annot_records!O71-(annot_records!M71+annot_records!K71)*(annot_records!L71-annot_records!J71)/2,-1)</f>
        <v>-1</v>
      </c>
      <c r="H71">
        <f>IF(B71=2,annot_records!N71,-1)</f>
        <v>-1</v>
      </c>
    </row>
    <row r="72" spans="1:8" x14ac:dyDescent="0.25">
      <c r="A72">
        <f>annot_records!A72</f>
        <v>32</v>
      </c>
      <c r="B72">
        <f>IF(annot_records!B72="峰标注",1,2)</f>
        <v>1</v>
      </c>
      <c r="C72">
        <f>IF(B72=1,annot_records!D72,annot_records!J72)</f>
        <v>340</v>
      </c>
      <c r="D72">
        <f>IF(B72=1,annot_records!H72,annot_records!L72)</f>
        <v>373</v>
      </c>
      <c r="E72">
        <f>IF(B72=1,annot_records!F72,-1)</f>
        <v>361</v>
      </c>
      <c r="F72">
        <f>IF(B72=1,annot_records!G72-(annot_records!E72+annot_records!I72)/2,-1)</f>
        <v>928</v>
      </c>
      <c r="G72">
        <f>IF(B72=2,annot_records!O72-(annot_records!M72+annot_records!K72)*(annot_records!L72-annot_records!J72)/2,-1)</f>
        <v>-1</v>
      </c>
      <c r="H72">
        <f>IF(B72=2,annot_records!N72,-1)</f>
        <v>-1</v>
      </c>
    </row>
    <row r="73" spans="1:8" x14ac:dyDescent="0.25">
      <c r="A73">
        <f>annot_records!A73</f>
        <v>33</v>
      </c>
      <c r="B73">
        <f>IF(annot_records!B73="峰标注",1,2)</f>
        <v>1</v>
      </c>
      <c r="C73">
        <f>IF(B73=1,annot_records!D73,annot_records!J73)</f>
        <v>95</v>
      </c>
      <c r="D73">
        <f>IF(B73=1,annot_records!H73,annot_records!L73)</f>
        <v>111</v>
      </c>
      <c r="E73">
        <f>IF(B73=1,annot_records!F73,-1)</f>
        <v>104</v>
      </c>
      <c r="F73">
        <f>IF(B73=1,annot_records!G73-(annot_records!E73+annot_records!I73)/2,-1)</f>
        <v>1268</v>
      </c>
      <c r="G73">
        <f>IF(B73=2,annot_records!O73-(annot_records!M73+annot_records!K73)*(annot_records!L73-annot_records!J73)/2,-1)</f>
        <v>-1</v>
      </c>
      <c r="H73">
        <f>IF(B73=2,annot_records!N73,-1)</f>
        <v>-1</v>
      </c>
    </row>
    <row r="74" spans="1:8" x14ac:dyDescent="0.25">
      <c r="A74">
        <f>annot_records!A74</f>
        <v>33</v>
      </c>
      <c r="B74">
        <f>IF(annot_records!B74="峰标注",1,2)</f>
        <v>2</v>
      </c>
      <c r="C74">
        <f>IF(B74=1,annot_records!D74,annot_records!J74)</f>
        <v>186</v>
      </c>
      <c r="D74">
        <f>IF(B74=1,annot_records!H74,annot_records!L74)</f>
        <v>209</v>
      </c>
      <c r="E74">
        <f>IF(B74=1,annot_records!F74,-1)</f>
        <v>-1</v>
      </c>
      <c r="F74">
        <f>IF(B74=1,annot_records!G74-(annot_records!E74+annot_records!I74)/2,-1)</f>
        <v>-1</v>
      </c>
      <c r="G74">
        <f>IF(B74=2,annot_records!O74-(annot_records!M74+annot_records!K74)*(annot_records!L74-annot_records!J74)/2,-1)</f>
        <v>6312.5</v>
      </c>
      <c r="H74">
        <f>IF(B74=2,annot_records!N74,-1)</f>
        <v>2</v>
      </c>
    </row>
    <row r="75" spans="1:8" x14ac:dyDescent="0.25">
      <c r="A75">
        <f>annot_records!A75</f>
        <v>33</v>
      </c>
      <c r="B75">
        <f>IF(annot_records!B75="峰标注",1,2)</f>
        <v>1</v>
      </c>
      <c r="C75">
        <f>IF(B75=1,annot_records!D75,annot_records!J75)</f>
        <v>338</v>
      </c>
      <c r="D75">
        <f>IF(B75=1,annot_records!H75,annot_records!L75)</f>
        <v>372</v>
      </c>
      <c r="E75">
        <f>IF(B75=1,annot_records!F75,-1)</f>
        <v>361</v>
      </c>
      <c r="F75">
        <f>IF(B75=1,annot_records!G75-(annot_records!E75+annot_records!I75)/2,-1)</f>
        <v>1491</v>
      </c>
      <c r="G75">
        <f>IF(B75=2,annot_records!O75-(annot_records!M75+annot_records!K75)*(annot_records!L75-annot_records!J75)/2,-1)</f>
        <v>-1</v>
      </c>
      <c r="H75">
        <f>IF(B75=2,annot_records!N75,-1)</f>
        <v>-1</v>
      </c>
    </row>
    <row r="76" spans="1:8" x14ac:dyDescent="0.25">
      <c r="A76">
        <f>annot_records!A76</f>
        <v>34</v>
      </c>
      <c r="B76">
        <f>IF(annot_records!B76="峰标注",1,2)</f>
        <v>1</v>
      </c>
      <c r="C76">
        <f>IF(B76=1,annot_records!D76,annot_records!J76)</f>
        <v>94</v>
      </c>
      <c r="D76">
        <f>IF(B76=1,annot_records!H76,annot_records!L76)</f>
        <v>109</v>
      </c>
      <c r="E76">
        <f>IF(B76=1,annot_records!F76,-1)</f>
        <v>104</v>
      </c>
      <c r="F76">
        <f>IF(B76=1,annot_records!G76-(annot_records!E76+annot_records!I76)/2,-1)</f>
        <v>1585</v>
      </c>
      <c r="G76">
        <f>IF(B76=2,annot_records!O76-(annot_records!M76+annot_records!K76)*(annot_records!L76-annot_records!J76)/2,-1)</f>
        <v>-1</v>
      </c>
      <c r="H76">
        <f>IF(B76=2,annot_records!N76,-1)</f>
        <v>-1</v>
      </c>
    </row>
    <row r="77" spans="1:8" x14ac:dyDescent="0.25">
      <c r="A77">
        <f>annot_records!A77</f>
        <v>34</v>
      </c>
      <c r="B77">
        <f>IF(annot_records!B77="峰标注",1,2)</f>
        <v>2</v>
      </c>
      <c r="C77">
        <f>IF(B77=1,annot_records!D77,annot_records!J77)</f>
        <v>219</v>
      </c>
      <c r="D77">
        <f>IF(B77=1,annot_records!H77,annot_records!L77)</f>
        <v>251</v>
      </c>
      <c r="E77">
        <f>IF(B77=1,annot_records!F77,-1)</f>
        <v>-1</v>
      </c>
      <c r="F77">
        <f>IF(B77=1,annot_records!G77-(annot_records!E77+annot_records!I77)/2,-1)</f>
        <v>-1</v>
      </c>
      <c r="G77">
        <f>IF(B77=2,annot_records!O77-(annot_records!M77+annot_records!K77)*(annot_records!L77-annot_records!J77)/2,-1)</f>
        <v>8647</v>
      </c>
      <c r="H77">
        <f>IF(B77=2,annot_records!N77,-1)</f>
        <v>2</v>
      </c>
    </row>
    <row r="78" spans="1:8" x14ac:dyDescent="0.25">
      <c r="A78">
        <f>annot_records!A78</f>
        <v>34</v>
      </c>
      <c r="B78">
        <f>IF(annot_records!B78="峰标注",1,2)</f>
        <v>1</v>
      </c>
      <c r="C78">
        <f>IF(B78=1,annot_records!D78,annot_records!J78)</f>
        <v>338</v>
      </c>
      <c r="D78">
        <f>IF(B78=1,annot_records!H78,annot_records!L78)</f>
        <v>375</v>
      </c>
      <c r="E78">
        <f>IF(B78=1,annot_records!F78,-1)</f>
        <v>362</v>
      </c>
      <c r="F78">
        <f>IF(B78=1,annot_records!G78-(annot_records!E78+annot_records!I78)/2,-1)</f>
        <v>2665.5</v>
      </c>
      <c r="G78">
        <f>IF(B78=2,annot_records!O78-(annot_records!M78+annot_records!K78)*(annot_records!L78-annot_records!J78)/2,-1)</f>
        <v>-1</v>
      </c>
      <c r="H78">
        <f>IF(B78=2,annot_records!N78,-1)</f>
        <v>-1</v>
      </c>
    </row>
    <row r="79" spans="1:8" x14ac:dyDescent="0.25">
      <c r="A79">
        <f>annot_records!A79</f>
        <v>35</v>
      </c>
      <c r="B79">
        <f>IF(annot_records!B79="峰标注",1,2)</f>
        <v>1</v>
      </c>
      <c r="C79">
        <f>IF(B79=1,annot_records!D79,annot_records!J79)</f>
        <v>91</v>
      </c>
      <c r="D79">
        <f>IF(B79=1,annot_records!H79,annot_records!L79)</f>
        <v>111</v>
      </c>
      <c r="E79">
        <f>IF(B79=1,annot_records!F79,-1)</f>
        <v>104</v>
      </c>
      <c r="F79">
        <f>IF(B79=1,annot_records!G79-(annot_records!E79+annot_records!I79)/2,-1)</f>
        <v>2548</v>
      </c>
      <c r="G79">
        <f>IF(B79=2,annot_records!O79-(annot_records!M79+annot_records!K79)*(annot_records!L79-annot_records!J79)/2,-1)</f>
        <v>-1</v>
      </c>
      <c r="H79">
        <f>IF(B79=2,annot_records!N79,-1)</f>
        <v>-1</v>
      </c>
    </row>
    <row r="80" spans="1:8" x14ac:dyDescent="0.25">
      <c r="A80">
        <f>annot_records!A80</f>
        <v>35</v>
      </c>
      <c r="B80">
        <f>IF(annot_records!B80="峰标注",1,2)</f>
        <v>1</v>
      </c>
      <c r="C80">
        <f>IF(B80=1,annot_records!D80,annot_records!J80)</f>
        <v>334</v>
      </c>
      <c r="D80">
        <f>IF(B80=1,annot_records!H80,annot_records!L80)</f>
        <v>380</v>
      </c>
      <c r="E80">
        <f>IF(B80=1,annot_records!F80,-1)</f>
        <v>366</v>
      </c>
      <c r="F80">
        <f>IF(B80=1,annot_records!G80-(annot_records!E80+annot_records!I80)/2,-1)</f>
        <v>5755</v>
      </c>
      <c r="G80">
        <f>IF(B80=2,annot_records!O80-(annot_records!M80+annot_records!K80)*(annot_records!L80-annot_records!J80)/2,-1)</f>
        <v>-1</v>
      </c>
      <c r="H80">
        <f>IF(B80=2,annot_records!N80,-1)</f>
        <v>-1</v>
      </c>
    </row>
    <row r="81" spans="1:8" x14ac:dyDescent="0.25">
      <c r="A81">
        <f>annot_records!A81</f>
        <v>36</v>
      </c>
      <c r="B81">
        <f>IF(annot_records!B81="峰标注",1,2)</f>
        <v>1</v>
      </c>
      <c r="C81">
        <f>IF(B81=1,annot_records!D81,annot_records!J81)</f>
        <v>91</v>
      </c>
      <c r="D81">
        <f>IF(B81=1,annot_records!H81,annot_records!L81)</f>
        <v>110</v>
      </c>
      <c r="E81">
        <f>IF(B81=1,annot_records!F81,-1)</f>
        <v>104</v>
      </c>
      <c r="F81">
        <f>IF(B81=1,annot_records!G81-(annot_records!E81+annot_records!I81)/2,-1)</f>
        <v>2672.5</v>
      </c>
      <c r="G81">
        <f>IF(B81=2,annot_records!O81-(annot_records!M81+annot_records!K81)*(annot_records!L81-annot_records!J81)/2,-1)</f>
        <v>-1</v>
      </c>
      <c r="H81">
        <f>IF(B81=2,annot_records!N81,-1)</f>
        <v>-1</v>
      </c>
    </row>
    <row r="82" spans="1:8" x14ac:dyDescent="0.25">
      <c r="A82">
        <f>annot_records!A82</f>
        <v>36</v>
      </c>
      <c r="B82">
        <f>IF(annot_records!B82="峰标注",1,2)</f>
        <v>1</v>
      </c>
      <c r="C82">
        <f>IF(B82=1,annot_records!D82,annot_records!J82)</f>
        <v>336</v>
      </c>
      <c r="D82">
        <f>IF(B82=1,annot_records!H82,annot_records!L82)</f>
        <v>383</v>
      </c>
      <c r="E82">
        <f>IF(B82=1,annot_records!F82,-1)</f>
        <v>368</v>
      </c>
      <c r="F82">
        <f>IF(B82=1,annot_records!G82-(annot_records!E82+annot_records!I82)/2,-1)</f>
        <v>6657.5</v>
      </c>
      <c r="G82">
        <f>IF(B82=2,annot_records!O82-(annot_records!M82+annot_records!K82)*(annot_records!L82-annot_records!J82)/2,-1)</f>
        <v>-1</v>
      </c>
      <c r="H82">
        <f>IF(B82=2,annot_records!N82,-1)</f>
        <v>-1</v>
      </c>
    </row>
    <row r="83" spans="1:8" x14ac:dyDescent="0.25">
      <c r="A83">
        <f>annot_records!A83</f>
        <v>37</v>
      </c>
      <c r="B83">
        <f>IF(annot_records!B83="峰标注",1,2)</f>
        <v>1</v>
      </c>
      <c r="C83">
        <f>IF(B83=1,annot_records!D83,annot_records!J83)</f>
        <v>153</v>
      </c>
      <c r="D83">
        <f>IF(B83=1,annot_records!H83,annot_records!L83)</f>
        <v>161</v>
      </c>
      <c r="E83">
        <f>IF(B83=1,annot_records!F83,-1)</f>
        <v>157</v>
      </c>
      <c r="F83">
        <f>IF(B83=1,annot_records!G83-(annot_records!E83+annot_records!I83)/2,-1)</f>
        <v>104</v>
      </c>
      <c r="G83">
        <f>IF(B83=2,annot_records!O83-(annot_records!M83+annot_records!K83)*(annot_records!L83-annot_records!J83)/2,-1)</f>
        <v>-1</v>
      </c>
      <c r="H83">
        <f>IF(B83=2,annot_records!N83,-1)</f>
        <v>-1</v>
      </c>
    </row>
    <row r="84" spans="1:8" x14ac:dyDescent="0.25">
      <c r="A84">
        <f>annot_records!A84</f>
        <v>37</v>
      </c>
      <c r="B84">
        <f>IF(annot_records!B84="峰标注",1,2)</f>
        <v>1</v>
      </c>
      <c r="C84">
        <f>IF(B84=1,annot_records!D84,annot_records!J84)</f>
        <v>211</v>
      </c>
      <c r="D84">
        <f>IF(B84=1,annot_records!H84,annot_records!L84)</f>
        <v>236</v>
      </c>
      <c r="E84">
        <f>IF(B84=1,annot_records!F84,-1)</f>
        <v>223</v>
      </c>
      <c r="F84">
        <f>IF(B84=1,annot_records!G84-(annot_records!E84+annot_records!I84)/2,-1)</f>
        <v>239</v>
      </c>
      <c r="G84">
        <f>IF(B84=2,annot_records!O84-(annot_records!M84+annot_records!K84)*(annot_records!L84-annot_records!J84)/2,-1)</f>
        <v>-1</v>
      </c>
      <c r="H84">
        <f>IF(B84=2,annot_records!N84,-1)</f>
        <v>-1</v>
      </c>
    </row>
    <row r="85" spans="1:8" x14ac:dyDescent="0.25">
      <c r="A85">
        <f>annot_records!A85</f>
        <v>37</v>
      </c>
      <c r="B85">
        <f>IF(annot_records!B85="峰标注",1,2)</f>
        <v>1</v>
      </c>
      <c r="C85">
        <f>IF(B85=1,annot_records!D85,annot_records!J85)</f>
        <v>289</v>
      </c>
      <c r="D85">
        <f>IF(B85=1,annot_records!H85,annot_records!L85)</f>
        <v>297</v>
      </c>
      <c r="E85">
        <f>IF(B85=1,annot_records!F85,-1)</f>
        <v>293</v>
      </c>
      <c r="F85">
        <f>IF(B85=1,annot_records!G85-(annot_records!E85+annot_records!I85)/2,-1)</f>
        <v>124</v>
      </c>
      <c r="G85">
        <f>IF(B85=2,annot_records!O85-(annot_records!M85+annot_records!K85)*(annot_records!L85-annot_records!J85)/2,-1)</f>
        <v>-1</v>
      </c>
      <c r="H85">
        <f>IF(B85=2,annot_records!N85,-1)</f>
        <v>-1</v>
      </c>
    </row>
    <row r="86" spans="1:8" x14ac:dyDescent="0.25">
      <c r="A86">
        <f>annot_records!A86</f>
        <v>38</v>
      </c>
      <c r="B86">
        <f>IF(annot_records!B86="峰标注",1,2)</f>
        <v>1</v>
      </c>
      <c r="C86">
        <f>IF(B86=1,annot_records!D86,annot_records!J86)</f>
        <v>61</v>
      </c>
      <c r="D86">
        <f>IF(B86=1,annot_records!H86,annot_records!L86)</f>
        <v>77</v>
      </c>
      <c r="E86">
        <f>IF(B86=1,annot_records!F86,-1)</f>
        <v>69</v>
      </c>
      <c r="F86">
        <f>IF(B86=1,annot_records!G86-(annot_records!E86+annot_records!I86)/2,-1)</f>
        <v>342</v>
      </c>
      <c r="G86">
        <f>IF(B86=2,annot_records!O86-(annot_records!M86+annot_records!K86)*(annot_records!L86-annot_records!J86)/2,-1)</f>
        <v>-1</v>
      </c>
      <c r="H86">
        <f>IF(B86=2,annot_records!N86,-1)</f>
        <v>-1</v>
      </c>
    </row>
    <row r="87" spans="1:8" x14ac:dyDescent="0.25">
      <c r="A87">
        <f>annot_records!A87</f>
        <v>38</v>
      </c>
      <c r="B87">
        <f>IF(annot_records!B87="峰标注",1,2)</f>
        <v>1</v>
      </c>
      <c r="C87">
        <f>IF(B87=1,annot_records!D87,annot_records!J87)</f>
        <v>150</v>
      </c>
      <c r="D87">
        <f>IF(B87=1,annot_records!H87,annot_records!L87)</f>
        <v>158</v>
      </c>
      <c r="E87">
        <f>IF(B87=1,annot_records!F87,-1)</f>
        <v>155</v>
      </c>
      <c r="F87">
        <f>IF(B87=1,annot_records!G87-(annot_records!E87+annot_records!I87)/2,-1)</f>
        <v>166</v>
      </c>
      <c r="G87">
        <f>IF(B87=2,annot_records!O87-(annot_records!M87+annot_records!K87)*(annot_records!L87-annot_records!J87)/2,-1)</f>
        <v>-1</v>
      </c>
      <c r="H87">
        <f>IF(B87=2,annot_records!N87,-1)</f>
        <v>-1</v>
      </c>
    </row>
    <row r="88" spans="1:8" x14ac:dyDescent="0.25">
      <c r="A88">
        <f>annot_records!A88</f>
        <v>38</v>
      </c>
      <c r="B88">
        <f>IF(annot_records!B88="峰标注",1,2)</f>
        <v>1</v>
      </c>
      <c r="C88">
        <f>IF(B88=1,annot_records!D88,annot_records!J88)</f>
        <v>199</v>
      </c>
      <c r="D88">
        <f>IF(B88=1,annot_records!H88,annot_records!L88)</f>
        <v>236</v>
      </c>
      <c r="E88">
        <f>IF(B88=1,annot_records!F88,-1)</f>
        <v>222</v>
      </c>
      <c r="F88">
        <f>IF(B88=1,annot_records!G88-(annot_records!E88+annot_records!I88)/2,-1)</f>
        <v>515.5</v>
      </c>
      <c r="G88">
        <f>IF(B88=2,annot_records!O88-(annot_records!M88+annot_records!K88)*(annot_records!L88-annot_records!J88)/2,-1)</f>
        <v>-1</v>
      </c>
      <c r="H88">
        <f>IF(B88=2,annot_records!N88,-1)</f>
        <v>-1</v>
      </c>
    </row>
    <row r="89" spans="1:8" x14ac:dyDescent="0.25">
      <c r="A89">
        <f>annot_records!A89</f>
        <v>38</v>
      </c>
      <c r="B89">
        <f>IF(annot_records!B89="峰标注",1,2)</f>
        <v>1</v>
      </c>
      <c r="C89">
        <f>IF(B89=1,annot_records!D89,annot_records!J89)</f>
        <v>288</v>
      </c>
      <c r="D89">
        <f>IF(B89=1,annot_records!H89,annot_records!L89)</f>
        <v>295</v>
      </c>
      <c r="E89">
        <f>IF(B89=1,annot_records!F89,-1)</f>
        <v>292</v>
      </c>
      <c r="F89">
        <f>IF(B89=1,annot_records!G89-(annot_records!E89+annot_records!I89)/2,-1)</f>
        <v>156</v>
      </c>
      <c r="G89">
        <f>IF(B89=2,annot_records!O89-(annot_records!M89+annot_records!K89)*(annot_records!L89-annot_records!J89)/2,-1)</f>
        <v>-1</v>
      </c>
      <c r="H89">
        <f>IF(B89=2,annot_records!N89,-1)</f>
        <v>-1</v>
      </c>
    </row>
    <row r="90" spans="1:8" x14ac:dyDescent="0.25">
      <c r="A90">
        <f>annot_records!A90</f>
        <v>39</v>
      </c>
      <c r="B90">
        <f>IF(annot_records!B90="峰标注",1,2)</f>
        <v>1</v>
      </c>
      <c r="C90">
        <f>IF(B90=1,annot_records!D90,annot_records!J90)</f>
        <v>60</v>
      </c>
      <c r="D90">
        <f>IF(B90=1,annot_records!H90,annot_records!L90)</f>
        <v>72</v>
      </c>
      <c r="E90">
        <f>IF(B90=1,annot_records!F90,-1)</f>
        <v>66</v>
      </c>
      <c r="F90">
        <f>IF(B90=1,annot_records!G90-(annot_records!E90+annot_records!I90)/2,-1)</f>
        <v>401.5</v>
      </c>
      <c r="G90">
        <f>IF(B90=2,annot_records!O90-(annot_records!M90+annot_records!K90)*(annot_records!L90-annot_records!J90)/2,-1)</f>
        <v>-1</v>
      </c>
      <c r="H90">
        <f>IF(B90=2,annot_records!N90,-1)</f>
        <v>-1</v>
      </c>
    </row>
    <row r="91" spans="1:8" x14ac:dyDescent="0.25">
      <c r="A91">
        <f>annot_records!A91</f>
        <v>39</v>
      </c>
      <c r="B91">
        <f>IF(annot_records!B91="峰标注",1,2)</f>
        <v>1</v>
      </c>
      <c r="C91">
        <f>IF(B91=1,annot_records!D91,annot_records!J91)</f>
        <v>147</v>
      </c>
      <c r="D91">
        <f>IF(B91=1,annot_records!H91,annot_records!L91)</f>
        <v>159</v>
      </c>
      <c r="E91">
        <f>IF(B91=1,annot_records!F91,-1)</f>
        <v>155</v>
      </c>
      <c r="F91">
        <f>IF(B91=1,annot_records!G91-(annot_records!E91+annot_records!I91)/2,-1)</f>
        <v>249.5</v>
      </c>
      <c r="G91">
        <f>IF(B91=2,annot_records!O91-(annot_records!M91+annot_records!K91)*(annot_records!L91-annot_records!J91)/2,-1)</f>
        <v>-1</v>
      </c>
      <c r="H91">
        <f>IF(B91=2,annot_records!N91,-1)</f>
        <v>-1</v>
      </c>
    </row>
    <row r="92" spans="1:8" x14ac:dyDescent="0.25">
      <c r="A92">
        <f>annot_records!A92</f>
        <v>39</v>
      </c>
      <c r="B92">
        <f>IF(annot_records!B92="峰标注",1,2)</f>
        <v>1</v>
      </c>
      <c r="C92">
        <f>IF(B92=1,annot_records!D92,annot_records!J92)</f>
        <v>199</v>
      </c>
      <c r="D92">
        <f>IF(B92=1,annot_records!H92,annot_records!L92)</f>
        <v>234</v>
      </c>
      <c r="E92">
        <f>IF(B92=1,annot_records!F92,-1)</f>
        <v>222</v>
      </c>
      <c r="F92">
        <f>IF(B92=1,annot_records!G92-(annot_records!E92+annot_records!I92)/2,-1)</f>
        <v>969</v>
      </c>
      <c r="G92">
        <f>IF(B92=2,annot_records!O92-(annot_records!M92+annot_records!K92)*(annot_records!L92-annot_records!J92)/2,-1)</f>
        <v>-1</v>
      </c>
      <c r="H92">
        <f>IF(B92=2,annot_records!N92,-1)</f>
        <v>-1</v>
      </c>
    </row>
    <row r="93" spans="1:8" x14ac:dyDescent="0.25">
      <c r="A93">
        <f>annot_records!A93</f>
        <v>39</v>
      </c>
      <c r="B93">
        <f>IF(annot_records!B93="峰标注",1,2)</f>
        <v>1</v>
      </c>
      <c r="C93">
        <f>IF(B93=1,annot_records!D93,annot_records!J93)</f>
        <v>289</v>
      </c>
      <c r="D93">
        <f>IF(B93=1,annot_records!H93,annot_records!L93)</f>
        <v>295</v>
      </c>
      <c r="E93">
        <f>IF(B93=1,annot_records!F93,-1)</f>
        <v>291</v>
      </c>
      <c r="F93">
        <f>IF(B93=1,annot_records!G93-(annot_records!E93+annot_records!I93)/2,-1)</f>
        <v>226.5</v>
      </c>
      <c r="G93">
        <f>IF(B93=2,annot_records!O93-(annot_records!M93+annot_records!K93)*(annot_records!L93-annot_records!J93)/2,-1)</f>
        <v>-1</v>
      </c>
      <c r="H93">
        <f>IF(B93=2,annot_records!N93,-1)</f>
        <v>-1</v>
      </c>
    </row>
    <row r="94" spans="1:8" x14ac:dyDescent="0.25">
      <c r="A94">
        <f>annot_records!A94</f>
        <v>40</v>
      </c>
      <c r="B94">
        <f>IF(annot_records!B94="峰标注",1,2)</f>
        <v>2</v>
      </c>
      <c r="C94">
        <f>IF(B94=1,annot_records!D94,annot_records!J94)</f>
        <v>48</v>
      </c>
      <c r="D94">
        <f>IF(B94=1,annot_records!H94,annot_records!L94)</f>
        <v>70</v>
      </c>
      <c r="E94">
        <f>IF(B94=1,annot_records!F94,-1)</f>
        <v>-1</v>
      </c>
      <c r="F94">
        <f>IF(B94=1,annot_records!G94-(annot_records!E94+annot_records!I94)/2,-1)</f>
        <v>-1</v>
      </c>
      <c r="G94">
        <f>IF(B94=2,annot_records!O94-(annot_records!M94+annot_records!K94)*(annot_records!L94-annot_records!J94)/2,-1)</f>
        <v>5998</v>
      </c>
      <c r="H94">
        <f>IF(B94=2,annot_records!N94,-1)</f>
        <v>2</v>
      </c>
    </row>
    <row r="95" spans="1:8" x14ac:dyDescent="0.25">
      <c r="A95">
        <f>annot_records!A95</f>
        <v>40</v>
      </c>
      <c r="B95">
        <f>IF(annot_records!B95="峰标注",1,2)</f>
        <v>1</v>
      </c>
      <c r="C95">
        <f>IF(B95=1,annot_records!D95,annot_records!J95)</f>
        <v>147</v>
      </c>
      <c r="D95">
        <f>IF(B95=1,annot_records!H95,annot_records!L95)</f>
        <v>159</v>
      </c>
      <c r="E95">
        <f>IF(B95=1,annot_records!F95,-1)</f>
        <v>154</v>
      </c>
      <c r="F95">
        <f>IF(B95=1,annot_records!G95-(annot_records!E95+annot_records!I95)/2,-1)</f>
        <v>260</v>
      </c>
      <c r="G95">
        <f>IF(B95=2,annot_records!O95-(annot_records!M95+annot_records!K95)*(annot_records!L95-annot_records!J95)/2,-1)</f>
        <v>-1</v>
      </c>
      <c r="H95">
        <f>IF(B95=2,annot_records!N95,-1)</f>
        <v>-1</v>
      </c>
    </row>
    <row r="96" spans="1:8" x14ac:dyDescent="0.25">
      <c r="A96">
        <f>annot_records!A96</f>
        <v>40</v>
      </c>
      <c r="B96">
        <f>IF(annot_records!B96="峰标注",1,2)</f>
        <v>1</v>
      </c>
      <c r="C96">
        <f>IF(B96=1,annot_records!D96,annot_records!J96)</f>
        <v>197</v>
      </c>
      <c r="D96">
        <f>IF(B96=1,annot_records!H96,annot_records!L96)</f>
        <v>235</v>
      </c>
      <c r="E96">
        <f>IF(B96=1,annot_records!F96,-1)</f>
        <v>223</v>
      </c>
      <c r="F96">
        <f>IF(B96=1,annot_records!G96-(annot_records!E96+annot_records!I96)/2,-1)</f>
        <v>1534</v>
      </c>
      <c r="G96">
        <f>IF(B96=2,annot_records!O96-(annot_records!M96+annot_records!K96)*(annot_records!L96-annot_records!J96)/2,-1)</f>
        <v>-1</v>
      </c>
      <c r="H96">
        <f>IF(B96=2,annot_records!N96,-1)</f>
        <v>-1</v>
      </c>
    </row>
    <row r="97" spans="1:8" x14ac:dyDescent="0.25">
      <c r="A97">
        <f>annot_records!A97</f>
        <v>41</v>
      </c>
      <c r="B97">
        <f>IF(annot_records!B97="峰标注",1,2)</f>
        <v>1</v>
      </c>
      <c r="C97">
        <f>IF(B97=1,annot_records!D97,annot_records!J97)</f>
        <v>59</v>
      </c>
      <c r="D97">
        <f>IF(B97=1,annot_records!H97,annot_records!L97)</f>
        <v>70</v>
      </c>
      <c r="E97">
        <f>IF(B97=1,annot_records!F97,-1)</f>
        <v>64</v>
      </c>
      <c r="F97">
        <f>IF(B97=1,annot_records!G97-(annot_records!E97+annot_records!I97)/2,-1)</f>
        <v>227</v>
      </c>
      <c r="G97">
        <f>IF(B97=2,annot_records!O97-(annot_records!M97+annot_records!K97)*(annot_records!L97-annot_records!J97)/2,-1)</f>
        <v>-1</v>
      </c>
      <c r="H97">
        <f>IF(B97=2,annot_records!N97,-1)</f>
        <v>-1</v>
      </c>
    </row>
    <row r="98" spans="1:8" x14ac:dyDescent="0.25">
      <c r="A98">
        <f>annot_records!A98</f>
        <v>41</v>
      </c>
      <c r="B98">
        <f>IF(annot_records!B98="峰标注",1,2)</f>
        <v>1</v>
      </c>
      <c r="C98">
        <f>IF(B98=1,annot_records!D98,annot_records!J98)</f>
        <v>146</v>
      </c>
      <c r="D98">
        <f>IF(B98=1,annot_records!H98,annot_records!L98)</f>
        <v>157</v>
      </c>
      <c r="E98">
        <f>IF(B98=1,annot_records!F98,-1)</f>
        <v>152</v>
      </c>
      <c r="F98">
        <f>IF(B98=1,annot_records!G98-(annot_records!E98+annot_records!I98)/2,-1)</f>
        <v>233.5</v>
      </c>
      <c r="G98">
        <f>IF(B98=2,annot_records!O98-(annot_records!M98+annot_records!K98)*(annot_records!L98-annot_records!J98)/2,-1)</f>
        <v>-1</v>
      </c>
      <c r="H98">
        <f>IF(B98=2,annot_records!N98,-1)</f>
        <v>-1</v>
      </c>
    </row>
    <row r="99" spans="1:8" x14ac:dyDescent="0.25">
      <c r="A99">
        <f>annot_records!A99</f>
        <v>41</v>
      </c>
      <c r="B99">
        <f>IF(annot_records!B99="峰标注",1,2)</f>
        <v>1</v>
      </c>
      <c r="C99">
        <f>IF(B99=1,annot_records!D99,annot_records!J99)</f>
        <v>199</v>
      </c>
      <c r="D99">
        <f>IF(B99=1,annot_records!H99,annot_records!L99)</f>
        <v>238</v>
      </c>
      <c r="E99">
        <f>IF(B99=1,annot_records!F99,-1)</f>
        <v>225</v>
      </c>
      <c r="F99">
        <f>IF(B99=1,annot_records!G99-(annot_records!E99+annot_records!I99)/2,-1)</f>
        <v>2726</v>
      </c>
      <c r="G99">
        <f>IF(B99=2,annot_records!O99-(annot_records!M99+annot_records!K99)*(annot_records!L99-annot_records!J99)/2,-1)</f>
        <v>-1</v>
      </c>
      <c r="H99">
        <f>IF(B99=2,annot_records!N99,-1)</f>
        <v>-1</v>
      </c>
    </row>
    <row r="100" spans="1:8" x14ac:dyDescent="0.25">
      <c r="A100">
        <f>annot_records!A100</f>
        <v>42</v>
      </c>
      <c r="B100">
        <f>IF(annot_records!B100="峰标注",1,2)</f>
        <v>1</v>
      </c>
      <c r="C100">
        <f>IF(B100=1,annot_records!D100,annot_records!J100)</f>
        <v>60</v>
      </c>
      <c r="D100">
        <f>IF(B100=1,annot_records!H100,annot_records!L100)</f>
        <v>70</v>
      </c>
      <c r="E100">
        <f>IF(B100=1,annot_records!F100,-1)</f>
        <v>64</v>
      </c>
      <c r="F100">
        <f>IF(B100=1,annot_records!G100-(annot_records!E100+annot_records!I100)/2,-1)</f>
        <v>309</v>
      </c>
      <c r="G100">
        <f>IF(B100=2,annot_records!O100-(annot_records!M100+annot_records!K100)*(annot_records!L100-annot_records!J100)/2,-1)</f>
        <v>-1</v>
      </c>
      <c r="H100">
        <f>IF(B100=2,annot_records!N100,-1)</f>
        <v>-1</v>
      </c>
    </row>
    <row r="101" spans="1:8" x14ac:dyDescent="0.25">
      <c r="A101">
        <f>annot_records!A101</f>
        <v>42</v>
      </c>
      <c r="B101">
        <f>IF(annot_records!B101="峰标注",1,2)</f>
        <v>1</v>
      </c>
      <c r="C101">
        <f>IF(B101=1,annot_records!D101,annot_records!J101)</f>
        <v>144</v>
      </c>
      <c r="D101">
        <f>IF(B101=1,annot_records!H101,annot_records!L101)</f>
        <v>155</v>
      </c>
      <c r="E101">
        <f>IF(B101=1,annot_records!F101,-1)</f>
        <v>150</v>
      </c>
      <c r="F101">
        <f>IF(B101=1,annot_records!G101-(annot_records!E101+annot_records!I101)/2,-1)</f>
        <v>220.5</v>
      </c>
      <c r="G101">
        <f>IF(B101=2,annot_records!O101-(annot_records!M101+annot_records!K101)*(annot_records!L101-annot_records!J101)/2,-1)</f>
        <v>-1</v>
      </c>
      <c r="H101">
        <f>IF(B101=2,annot_records!N101,-1)</f>
        <v>-1</v>
      </c>
    </row>
    <row r="102" spans="1:8" x14ac:dyDescent="0.25">
      <c r="A102">
        <f>annot_records!A102</f>
        <v>42</v>
      </c>
      <c r="B102">
        <f>IF(annot_records!B102="峰标注",1,2)</f>
        <v>1</v>
      </c>
      <c r="C102">
        <f>IF(B102=1,annot_records!D102,annot_records!J102)</f>
        <v>198</v>
      </c>
      <c r="D102">
        <f>IF(B102=1,annot_records!H102,annot_records!L102)</f>
        <v>242</v>
      </c>
      <c r="E102">
        <f>IF(B102=1,annot_records!F102,-1)</f>
        <v>229</v>
      </c>
      <c r="F102">
        <f>IF(B102=1,annot_records!G102-(annot_records!E102+annot_records!I102)/2,-1)</f>
        <v>5659.5</v>
      </c>
      <c r="G102">
        <f>IF(B102=2,annot_records!O102-(annot_records!M102+annot_records!K102)*(annot_records!L102-annot_records!J102)/2,-1)</f>
        <v>-1</v>
      </c>
      <c r="H102">
        <f>IF(B102=2,annot_records!N102,-1)</f>
        <v>-1</v>
      </c>
    </row>
    <row r="103" spans="1:8" x14ac:dyDescent="0.25">
      <c r="A103">
        <f>annot_records!A103</f>
        <v>43</v>
      </c>
      <c r="B103">
        <f>IF(annot_records!B103="峰标注",1,2)</f>
        <v>1</v>
      </c>
      <c r="C103">
        <f>IF(B103=1,annot_records!D103,annot_records!J103)</f>
        <v>60</v>
      </c>
      <c r="D103">
        <f>IF(B103=1,annot_records!H103,annot_records!L103)</f>
        <v>72</v>
      </c>
      <c r="E103">
        <f>IF(B103=1,annot_records!F103,-1)</f>
        <v>66</v>
      </c>
      <c r="F103">
        <f>IF(B103=1,annot_records!G103-(annot_records!E103+annot_records!I103)/2,-1)</f>
        <v>311</v>
      </c>
      <c r="G103">
        <f>IF(B103=2,annot_records!O103-(annot_records!M103+annot_records!K103)*(annot_records!L103-annot_records!J103)/2,-1)</f>
        <v>-1</v>
      </c>
      <c r="H103">
        <f>IF(B103=2,annot_records!N103,-1)</f>
        <v>-1</v>
      </c>
    </row>
    <row r="104" spans="1:8" x14ac:dyDescent="0.25">
      <c r="A104">
        <f>annot_records!A104</f>
        <v>43</v>
      </c>
      <c r="B104">
        <f>IF(annot_records!B104="峰标注",1,2)</f>
        <v>1</v>
      </c>
      <c r="C104">
        <f>IF(B104=1,annot_records!D104,annot_records!J104)</f>
        <v>145</v>
      </c>
      <c r="D104">
        <f>IF(B104=1,annot_records!H104,annot_records!L104)</f>
        <v>154</v>
      </c>
      <c r="E104">
        <f>IF(B104=1,annot_records!F104,-1)</f>
        <v>149</v>
      </c>
      <c r="F104">
        <f>IF(B104=1,annot_records!G104-(annot_records!E104+annot_records!I104)/2,-1)</f>
        <v>200</v>
      </c>
      <c r="G104">
        <f>IF(B104=2,annot_records!O104-(annot_records!M104+annot_records!K104)*(annot_records!L104-annot_records!J104)/2,-1)</f>
        <v>-1</v>
      </c>
      <c r="H104">
        <f>IF(B104=2,annot_records!N104,-1)</f>
        <v>-1</v>
      </c>
    </row>
    <row r="105" spans="1:8" x14ac:dyDescent="0.25">
      <c r="A105">
        <f>annot_records!A105</f>
        <v>43</v>
      </c>
      <c r="B105">
        <f>IF(annot_records!B105="峰标注",1,2)</f>
        <v>1</v>
      </c>
      <c r="C105">
        <f>IF(B105=1,annot_records!D105,annot_records!J105)</f>
        <v>198</v>
      </c>
      <c r="D105">
        <f>IF(B105=1,annot_records!H105,annot_records!L105)</f>
        <v>245</v>
      </c>
      <c r="E105">
        <f>IF(B105=1,annot_records!F105,-1)</f>
        <v>230</v>
      </c>
      <c r="F105">
        <f>IF(B105=1,annot_records!G105-(annot_records!E105+annot_records!I105)/2,-1)</f>
        <v>6665.5</v>
      </c>
      <c r="G105">
        <f>IF(B105=2,annot_records!O105-(annot_records!M105+annot_records!K105)*(annot_records!L105-annot_records!J105)/2,-1)</f>
        <v>-1</v>
      </c>
      <c r="H105">
        <f>IF(B105=2,annot_records!N105,-1)</f>
        <v>-1</v>
      </c>
    </row>
    <row r="106" spans="1:8" x14ac:dyDescent="0.25">
      <c r="A106">
        <f>annot_records!A106</f>
        <v>44</v>
      </c>
      <c r="B106">
        <f>IF(annot_records!B106="峰标注",1,2)</f>
        <v>1</v>
      </c>
      <c r="C106">
        <f>IF(B106=1,annot_records!D106,annot_records!J106)</f>
        <v>332</v>
      </c>
      <c r="D106">
        <f>IF(B106=1,annot_records!H106,annot_records!L106)</f>
        <v>348</v>
      </c>
      <c r="E106">
        <f>IF(B106=1,annot_records!F106,-1)</f>
        <v>341</v>
      </c>
      <c r="F106">
        <f>IF(B106=1,annot_records!G106-(annot_records!E106+annot_records!I106)/2,-1)</f>
        <v>528.5</v>
      </c>
      <c r="G106">
        <f>IF(B106=2,annot_records!O106-(annot_records!M106+annot_records!K106)*(annot_records!L106-annot_records!J106)/2,-1)</f>
        <v>-1</v>
      </c>
      <c r="H106">
        <f>IF(B106=2,annot_records!N106,-1)</f>
        <v>-1</v>
      </c>
    </row>
    <row r="107" spans="1:8" x14ac:dyDescent="0.25">
      <c r="A107">
        <f>annot_records!A107</f>
        <v>44</v>
      </c>
      <c r="B107">
        <f>IF(annot_records!B107="峰标注",1,2)</f>
        <v>1</v>
      </c>
      <c r="C107">
        <f>IF(B107=1,annot_records!D107,annot_records!J107)</f>
        <v>374</v>
      </c>
      <c r="D107">
        <f>IF(B107=1,annot_records!H107,annot_records!L107)</f>
        <v>393</v>
      </c>
      <c r="E107">
        <f>IF(B107=1,annot_records!F107,-1)</f>
        <v>383</v>
      </c>
      <c r="F107">
        <f>IF(B107=1,annot_records!G107-(annot_records!E107+annot_records!I107)/2,-1)</f>
        <v>1510.5000000000009</v>
      </c>
      <c r="G107">
        <f>IF(B107=2,annot_records!O107-(annot_records!M107+annot_records!K107)*(annot_records!L107-annot_records!J107)/2,-1)</f>
        <v>-1</v>
      </c>
      <c r="H107">
        <f>IF(B107=2,annot_records!N107,-1)</f>
        <v>-1</v>
      </c>
    </row>
    <row r="108" spans="1:8" x14ac:dyDescent="0.25">
      <c r="A108">
        <f>annot_records!A108</f>
        <v>44</v>
      </c>
      <c r="B108">
        <f>IF(annot_records!B108="峰标注",1,2)</f>
        <v>1</v>
      </c>
      <c r="C108">
        <f>IF(B108=1,annot_records!D108,annot_records!J108)</f>
        <v>438</v>
      </c>
      <c r="D108">
        <f>IF(B108=1,annot_records!H108,annot_records!L108)</f>
        <v>462</v>
      </c>
      <c r="E108">
        <f>IF(B108=1,annot_records!F108,-1)</f>
        <v>451</v>
      </c>
      <c r="F108">
        <f>IF(B108=1,annot_records!G108-(annot_records!E108+annot_records!I108)/2,-1)</f>
        <v>453.5</v>
      </c>
      <c r="G108">
        <f>IF(B108=2,annot_records!O108-(annot_records!M108+annot_records!K108)*(annot_records!L108-annot_records!J108)/2,-1)</f>
        <v>-1</v>
      </c>
      <c r="H108">
        <f>IF(B108=2,annot_records!N108,-1)</f>
        <v>-1</v>
      </c>
    </row>
    <row r="109" spans="1:8" x14ac:dyDescent="0.25">
      <c r="A109">
        <f>annot_records!A109</f>
        <v>44</v>
      </c>
      <c r="B109">
        <f>IF(annot_records!B109="峰标注",1,2)</f>
        <v>1</v>
      </c>
      <c r="C109">
        <f>IF(B109=1,annot_records!D109,annot_records!J109)</f>
        <v>512</v>
      </c>
      <c r="D109">
        <f>IF(B109=1,annot_records!H109,annot_records!L109)</f>
        <v>551</v>
      </c>
      <c r="E109">
        <f>IF(B109=1,annot_records!F109,-1)</f>
        <v>532</v>
      </c>
      <c r="F109">
        <f>IF(B109=1,annot_records!G109-(annot_records!E109+annot_records!I109)/2,-1)</f>
        <v>1413.5</v>
      </c>
      <c r="G109">
        <f>IF(B109=2,annot_records!O109-(annot_records!M109+annot_records!K109)*(annot_records!L109-annot_records!J109)/2,-1)</f>
        <v>-1</v>
      </c>
      <c r="H109">
        <f>IF(B109=2,annot_records!N109,-1)</f>
        <v>-1</v>
      </c>
    </row>
    <row r="110" spans="1:8" x14ac:dyDescent="0.25">
      <c r="A110">
        <f>annot_records!A110</f>
        <v>44</v>
      </c>
      <c r="B110">
        <f>IF(annot_records!B110="峰标注",1,2)</f>
        <v>1</v>
      </c>
      <c r="C110">
        <f>IF(B110=1,annot_records!D110,annot_records!J110)</f>
        <v>589</v>
      </c>
      <c r="D110">
        <f>IF(B110=1,annot_records!H110,annot_records!L110)</f>
        <v>626</v>
      </c>
      <c r="E110">
        <f>IF(B110=1,annot_records!F110,-1)</f>
        <v>610</v>
      </c>
      <c r="F110">
        <f>IF(B110=1,annot_records!G110-(annot_records!E110+annot_records!I110)/2,-1)</f>
        <v>2408.5</v>
      </c>
      <c r="G110">
        <f>IF(B110=2,annot_records!O110-(annot_records!M110+annot_records!K110)*(annot_records!L110-annot_records!J110)/2,-1)</f>
        <v>-1</v>
      </c>
      <c r="H110">
        <f>IF(B110=2,annot_records!N110,-1)</f>
        <v>-1</v>
      </c>
    </row>
    <row r="111" spans="1:8" x14ac:dyDescent="0.25">
      <c r="A111">
        <f>annot_records!A111</f>
        <v>44</v>
      </c>
      <c r="B111">
        <f>IF(annot_records!B111="峰标注",1,2)</f>
        <v>1</v>
      </c>
      <c r="C111">
        <f>IF(B111=1,annot_records!D111,annot_records!J111)</f>
        <v>698</v>
      </c>
      <c r="D111">
        <f>IF(B111=1,annot_records!H111,annot_records!L111)</f>
        <v>730</v>
      </c>
      <c r="E111">
        <f>IF(B111=1,annot_records!F111,-1)</f>
        <v>717</v>
      </c>
      <c r="F111">
        <f>IF(B111=1,annot_records!G111-(annot_records!E111+annot_records!I111)/2,-1)</f>
        <v>1790.4999999999991</v>
      </c>
      <c r="G111">
        <f>IF(B111=2,annot_records!O111-(annot_records!M111+annot_records!K111)*(annot_records!L111-annot_records!J111)/2,-1)</f>
        <v>-1</v>
      </c>
      <c r="H111">
        <f>IF(B111=2,annot_records!N111,-1)</f>
        <v>-1</v>
      </c>
    </row>
    <row r="112" spans="1:8" x14ac:dyDescent="0.25">
      <c r="A112">
        <f>annot_records!A112</f>
        <v>44</v>
      </c>
      <c r="B112">
        <f>IF(annot_records!B112="峰标注",1,2)</f>
        <v>1</v>
      </c>
      <c r="C112">
        <f>IF(B112=1,annot_records!D112,annot_records!J112)</f>
        <v>817</v>
      </c>
      <c r="D112">
        <f>IF(B112=1,annot_records!H112,annot_records!L112)</f>
        <v>852</v>
      </c>
      <c r="E112">
        <f>IF(B112=1,annot_records!F112,-1)</f>
        <v>837</v>
      </c>
      <c r="F112">
        <f>IF(B112=1,annot_records!G112-(annot_records!E112+annot_records!I112)/2,-1)</f>
        <v>984</v>
      </c>
      <c r="G112">
        <f>IF(B112=2,annot_records!O112-(annot_records!M112+annot_records!K112)*(annot_records!L112-annot_records!J112)/2,-1)</f>
        <v>-1</v>
      </c>
      <c r="H112">
        <f>IF(B112=2,annot_records!N112,-1)</f>
        <v>-1</v>
      </c>
    </row>
    <row r="113" spans="1:8" x14ac:dyDescent="0.25">
      <c r="A113">
        <f>annot_records!A113</f>
        <v>44</v>
      </c>
      <c r="B113">
        <f>IF(annot_records!B113="峰标注",1,2)</f>
        <v>2</v>
      </c>
      <c r="C113">
        <f>IF(B113=1,annot_records!D113,annot_records!J113)</f>
        <v>866</v>
      </c>
      <c r="D113">
        <f>IF(B113=1,annot_records!H113,annot_records!L113)</f>
        <v>922</v>
      </c>
      <c r="E113">
        <f>IF(B113=1,annot_records!F113,-1)</f>
        <v>-1</v>
      </c>
      <c r="F113">
        <f>IF(B113=1,annot_records!G113-(annot_records!E113+annot_records!I113)/2,-1)</f>
        <v>-1</v>
      </c>
      <c r="G113">
        <f>IF(B113=2,annot_records!O113-(annot_records!M113+annot_records!K113)*(annot_records!L113-annot_records!J113)/2,-1)</f>
        <v>64153</v>
      </c>
      <c r="H113">
        <f>IF(B113=2,annot_records!N113,-1)</f>
        <v>2</v>
      </c>
    </row>
    <row r="114" spans="1:8" x14ac:dyDescent="0.25">
      <c r="A114">
        <f>annot_records!A114</f>
        <v>45</v>
      </c>
      <c r="B114">
        <f>IF(annot_records!B114="峰标注",1,2)</f>
        <v>1</v>
      </c>
      <c r="C114">
        <f>IF(B114=1,annot_records!D114,annot_records!J114)</f>
        <v>148</v>
      </c>
      <c r="D114">
        <f>IF(B114=1,annot_records!H114,annot_records!L114)</f>
        <v>161</v>
      </c>
      <c r="E114">
        <f>IF(B114=1,annot_records!F114,-1)</f>
        <v>157</v>
      </c>
      <c r="F114">
        <f>IF(B114=1,annot_records!G114-(annot_records!E114+annot_records!I114)/2,-1)</f>
        <v>533.5</v>
      </c>
      <c r="G114">
        <f>IF(B114=2,annot_records!O114-(annot_records!M114+annot_records!K114)*(annot_records!L114-annot_records!J114)/2,-1)</f>
        <v>-1</v>
      </c>
      <c r="H114">
        <f>IF(B114=2,annot_records!N114,-1)</f>
        <v>-1</v>
      </c>
    </row>
    <row r="115" spans="1:8" x14ac:dyDescent="0.25">
      <c r="A115">
        <f>annot_records!A115</f>
        <v>45</v>
      </c>
      <c r="B115">
        <f>IF(annot_records!B115="峰标注",1,2)</f>
        <v>2</v>
      </c>
      <c r="C115">
        <f>IF(B115=1,annot_records!D115,annot_records!J115)</f>
        <v>876</v>
      </c>
      <c r="D115">
        <f>IF(B115=1,annot_records!H115,annot_records!L115)</f>
        <v>925</v>
      </c>
      <c r="E115">
        <f>IF(B115=1,annot_records!F115,-1)</f>
        <v>-1</v>
      </c>
      <c r="F115">
        <f>IF(B115=1,annot_records!G115-(annot_records!E115+annot_records!I115)/2,-1)</f>
        <v>-1</v>
      </c>
      <c r="G115">
        <f>IF(B115=2,annot_records!O115-(annot_records!M115+annot_records!K115)*(annot_records!L115-annot_records!J115)/2,-1)</f>
        <v>19497</v>
      </c>
      <c r="H115">
        <f>IF(B115=2,annot_records!N115,-1)</f>
        <v>2</v>
      </c>
    </row>
    <row r="116" spans="1:8" x14ac:dyDescent="0.25">
      <c r="A116">
        <f>annot_records!A116</f>
        <v>46</v>
      </c>
      <c r="B116">
        <f>IF(annot_records!B116="峰标注",1,2)</f>
        <v>2</v>
      </c>
      <c r="C116">
        <f>IF(B116=1,annot_records!D116,annot_records!J116)</f>
        <v>300</v>
      </c>
      <c r="D116">
        <f>IF(B116=1,annot_records!H116,annot_records!L116)</f>
        <v>360</v>
      </c>
      <c r="E116">
        <f>IF(B116=1,annot_records!F116,-1)</f>
        <v>-1</v>
      </c>
      <c r="F116">
        <f>IF(B116=1,annot_records!G116-(annot_records!E116+annot_records!I116)/2,-1)</f>
        <v>-1</v>
      </c>
      <c r="G116">
        <f>IF(B116=2,annot_records!O116-(annot_records!M116+annot_records!K116)*(annot_records!L116-annot_records!J116)/2,-1)</f>
        <v>22386</v>
      </c>
      <c r="H116">
        <f>IF(B116=2,annot_records!N116,-1)</f>
        <v>2</v>
      </c>
    </row>
    <row r="117" spans="1:8" x14ac:dyDescent="0.25">
      <c r="A117">
        <f>annot_records!A117</f>
        <v>46</v>
      </c>
      <c r="B117">
        <f>IF(annot_records!B117="峰标注",1,2)</f>
        <v>1</v>
      </c>
      <c r="C117">
        <f>IF(B117=1,annot_records!D117,annot_records!J117)</f>
        <v>454</v>
      </c>
      <c r="D117">
        <f>IF(B117=1,annot_records!H117,annot_records!L117)</f>
        <v>486</v>
      </c>
      <c r="E117">
        <f>IF(B117=1,annot_records!F117,-1)</f>
        <v>473</v>
      </c>
      <c r="F117">
        <f>IF(B117=1,annot_records!G117-(annot_records!E117+annot_records!I117)/2,-1)</f>
        <v>224.5</v>
      </c>
      <c r="G117">
        <f>IF(B117=2,annot_records!O117-(annot_records!M117+annot_records!K117)*(annot_records!L117-annot_records!J117)/2,-1)</f>
        <v>-1</v>
      </c>
      <c r="H117">
        <f>IF(B117=2,annot_records!N117,-1)</f>
        <v>-1</v>
      </c>
    </row>
    <row r="118" spans="1:8" x14ac:dyDescent="0.25">
      <c r="A118">
        <f>annot_records!A118</f>
        <v>46</v>
      </c>
      <c r="B118">
        <f>IF(annot_records!B118="峰标注",1,2)</f>
        <v>1</v>
      </c>
      <c r="C118">
        <f>IF(B118=1,annot_records!D118,annot_records!J118)</f>
        <v>876</v>
      </c>
      <c r="D118">
        <f>IF(B118=1,annot_records!H118,annot_records!L118)</f>
        <v>899</v>
      </c>
      <c r="E118">
        <f>IF(B118=1,annot_records!F118,-1)</f>
        <v>889</v>
      </c>
      <c r="F118">
        <f>IF(B118=1,annot_records!G118-(annot_records!E118+annot_records!I118)/2,-1)</f>
        <v>979</v>
      </c>
      <c r="G118">
        <f>IF(B118=2,annot_records!O118-(annot_records!M118+annot_records!K118)*(annot_records!L118-annot_records!J118)/2,-1)</f>
        <v>-1</v>
      </c>
      <c r="H118">
        <f>IF(B118=2,annot_records!N118,-1)</f>
        <v>-1</v>
      </c>
    </row>
    <row r="119" spans="1:8" x14ac:dyDescent="0.25">
      <c r="A119">
        <f>annot_records!A119</f>
        <v>46</v>
      </c>
      <c r="B119">
        <f>IF(annot_records!B119="峰标注",1,2)</f>
        <v>1</v>
      </c>
      <c r="C119">
        <f>IF(B119=1,annot_records!D119,annot_records!J119)</f>
        <v>899</v>
      </c>
      <c r="D119">
        <f>IF(B119=1,annot_records!H119,annot_records!L119)</f>
        <v>925</v>
      </c>
      <c r="E119">
        <f>IF(B119=1,annot_records!F119,-1)</f>
        <v>910</v>
      </c>
      <c r="F119">
        <f>IF(B119=1,annot_records!G119-(annot_records!E119+annot_records!I119)/2,-1)</f>
        <v>1176.5</v>
      </c>
      <c r="G119">
        <f>IF(B119=2,annot_records!O119-(annot_records!M119+annot_records!K119)*(annot_records!L119-annot_records!J119)/2,-1)</f>
        <v>-1</v>
      </c>
      <c r="H119">
        <f>IF(B119=2,annot_records!N119,-1)</f>
        <v>-1</v>
      </c>
    </row>
    <row r="120" spans="1:8" x14ac:dyDescent="0.25">
      <c r="A120">
        <f>annot_records!A120</f>
        <v>47</v>
      </c>
      <c r="B120">
        <f>IF(annot_records!B120="峰标注",1,2)</f>
        <v>2</v>
      </c>
      <c r="C120">
        <f>IF(B120=1,annot_records!D120,annot_records!J120)</f>
        <v>302</v>
      </c>
      <c r="D120">
        <f>IF(B120=1,annot_records!H120,annot_records!L120)</f>
        <v>355</v>
      </c>
      <c r="E120">
        <f>IF(B120=1,annot_records!F120,-1)</f>
        <v>-1</v>
      </c>
      <c r="F120">
        <f>IF(B120=1,annot_records!G120-(annot_records!E120+annot_records!I120)/2,-1)</f>
        <v>-1</v>
      </c>
      <c r="G120">
        <f>IF(B120=2,annot_records!O120-(annot_records!M120+annot_records!K120)*(annot_records!L120-annot_records!J120)/2,-1)</f>
        <v>40362.5</v>
      </c>
      <c r="H120">
        <f>IF(B120=2,annot_records!N120,-1)</f>
        <v>2</v>
      </c>
    </row>
    <row r="121" spans="1:8" x14ac:dyDescent="0.25">
      <c r="A121">
        <f>annot_records!A121</f>
        <v>47</v>
      </c>
      <c r="B121">
        <f>IF(annot_records!B121="峰标注",1,2)</f>
        <v>1</v>
      </c>
      <c r="C121">
        <f>IF(B121=1,annot_records!D121,annot_records!J121)</f>
        <v>451</v>
      </c>
      <c r="D121">
        <f>IF(B121=1,annot_records!H121,annot_records!L121)</f>
        <v>491</v>
      </c>
      <c r="E121">
        <f>IF(B121=1,annot_records!F121,-1)</f>
        <v>473</v>
      </c>
      <c r="F121">
        <f>IF(B121=1,annot_records!G121-(annot_records!E121+annot_records!I121)/2,-1)</f>
        <v>619</v>
      </c>
      <c r="G121">
        <f>IF(B121=2,annot_records!O121-(annot_records!M121+annot_records!K121)*(annot_records!L121-annot_records!J121)/2,-1)</f>
        <v>-1</v>
      </c>
      <c r="H121">
        <f>IF(B121=2,annot_records!N121,-1)</f>
        <v>-1</v>
      </c>
    </row>
    <row r="122" spans="1:8" x14ac:dyDescent="0.25">
      <c r="A122">
        <f>annot_records!A122</f>
        <v>47</v>
      </c>
      <c r="B122">
        <f>IF(annot_records!B122="峰标注",1,2)</f>
        <v>2</v>
      </c>
      <c r="C122">
        <f>IF(B122=1,annot_records!D122,annot_records!J122)</f>
        <v>875</v>
      </c>
      <c r="D122">
        <f>IF(B122=1,annot_records!H122,annot_records!L122)</f>
        <v>918</v>
      </c>
      <c r="E122">
        <f>IF(B122=1,annot_records!F122,-1)</f>
        <v>-1</v>
      </c>
      <c r="F122">
        <f>IF(B122=1,annot_records!G122-(annot_records!E122+annot_records!I122)/2,-1)</f>
        <v>-1</v>
      </c>
      <c r="G122">
        <f>IF(B122=2,annot_records!O122-(annot_records!M122+annot_records!K122)*(annot_records!L122-annot_records!J122)/2,-1)</f>
        <v>41135.5</v>
      </c>
      <c r="H122">
        <f>IF(B122=2,annot_records!N122,-1)</f>
        <v>2</v>
      </c>
    </row>
    <row r="123" spans="1:8" x14ac:dyDescent="0.25">
      <c r="A123">
        <f>annot_records!A123</f>
        <v>48</v>
      </c>
      <c r="B123">
        <f>IF(annot_records!B123="峰标注",1,2)</f>
        <v>2</v>
      </c>
      <c r="C123">
        <f>IF(B123=1,annot_records!D123,annot_records!J123)</f>
        <v>302</v>
      </c>
      <c r="D123">
        <f>IF(B123=1,annot_records!H123,annot_records!L123)</f>
        <v>363</v>
      </c>
      <c r="E123">
        <f>IF(B123=1,annot_records!F123,-1)</f>
        <v>-1</v>
      </c>
      <c r="F123">
        <f>IF(B123=1,annot_records!G123-(annot_records!E123+annot_records!I123)/2,-1)</f>
        <v>-1</v>
      </c>
      <c r="G123">
        <f>IF(B123=2,annot_records!O123-(annot_records!M123+annot_records!K123)*(annot_records!L123-annot_records!J123)/2,-1)</f>
        <v>128316.00000000006</v>
      </c>
      <c r="H123">
        <f>IF(B123=2,annot_records!N123,-1)</f>
        <v>2</v>
      </c>
    </row>
    <row r="124" spans="1:8" x14ac:dyDescent="0.25">
      <c r="A124">
        <f>annot_records!A124</f>
        <v>48</v>
      </c>
      <c r="B124">
        <f>IF(annot_records!B124="峰标注",1,2)</f>
        <v>1</v>
      </c>
      <c r="C124">
        <f>IF(B124=1,annot_records!D124,annot_records!J124)</f>
        <v>450</v>
      </c>
      <c r="D124">
        <f>IF(B124=1,annot_records!H124,annot_records!L124)</f>
        <v>491</v>
      </c>
      <c r="E124">
        <f>IF(B124=1,annot_records!F124,-1)</f>
        <v>479</v>
      </c>
      <c r="F124">
        <f>IF(B124=1,annot_records!G124-(annot_records!E124+annot_records!I124)/2,-1)</f>
        <v>1433</v>
      </c>
      <c r="G124">
        <f>IF(B124=2,annot_records!O124-(annot_records!M124+annot_records!K124)*(annot_records!L124-annot_records!J124)/2,-1)</f>
        <v>-1</v>
      </c>
      <c r="H124">
        <f>IF(B124=2,annot_records!N124,-1)</f>
        <v>-1</v>
      </c>
    </row>
    <row r="125" spans="1:8" x14ac:dyDescent="0.25">
      <c r="A125">
        <f>annot_records!A125</f>
        <v>48</v>
      </c>
      <c r="B125">
        <f>IF(annot_records!B125="峰标注",1,2)</f>
        <v>2</v>
      </c>
      <c r="C125">
        <f>IF(B125=1,annot_records!D125,annot_records!J125)</f>
        <v>871</v>
      </c>
      <c r="D125">
        <f>IF(B125=1,annot_records!H125,annot_records!L125)</f>
        <v>914</v>
      </c>
      <c r="E125">
        <f>IF(B125=1,annot_records!F125,-1)</f>
        <v>-1</v>
      </c>
      <c r="F125">
        <f>IF(B125=1,annot_records!G125-(annot_records!E125+annot_records!I125)/2,-1)</f>
        <v>-1</v>
      </c>
      <c r="G125">
        <f>IF(B125=2,annot_records!O125-(annot_records!M125+annot_records!K125)*(annot_records!L125-annot_records!J125)/2,-1)</f>
        <v>80922</v>
      </c>
      <c r="H125">
        <f>IF(B125=2,annot_records!N125,-1)</f>
        <v>2</v>
      </c>
    </row>
    <row r="126" spans="1:8" x14ac:dyDescent="0.25">
      <c r="A126">
        <f>annot_records!A126</f>
        <v>49</v>
      </c>
      <c r="B126">
        <f>IF(annot_records!B126="峰标注",1,2)</f>
        <v>2</v>
      </c>
      <c r="C126">
        <f>IF(B126=1,annot_records!D126,annot_records!J126)</f>
        <v>301</v>
      </c>
      <c r="D126">
        <f>IF(B126=1,annot_records!H126,annot_records!L126)</f>
        <v>366</v>
      </c>
      <c r="E126">
        <f>IF(B126=1,annot_records!F126,-1)</f>
        <v>-1</v>
      </c>
      <c r="F126">
        <f>IF(B126=1,annot_records!G126-(annot_records!E126+annot_records!I126)/2,-1)</f>
        <v>-1</v>
      </c>
      <c r="G126">
        <f>IF(B126=2,annot_records!O126-(annot_records!M126+annot_records!K126)*(annot_records!L126-annot_records!J126)/2,-1)</f>
        <v>215078</v>
      </c>
      <c r="H126">
        <f>IF(B126=2,annot_records!N126,-1)</f>
        <v>2</v>
      </c>
    </row>
    <row r="127" spans="1:8" x14ac:dyDescent="0.25">
      <c r="A127">
        <f>annot_records!A127</f>
        <v>49</v>
      </c>
      <c r="B127">
        <f>IF(annot_records!B127="峰标注",1,2)</f>
        <v>1</v>
      </c>
      <c r="C127">
        <f>IF(B127=1,annot_records!D127,annot_records!J127)</f>
        <v>454</v>
      </c>
      <c r="D127">
        <f>IF(B127=1,annot_records!H127,annot_records!L127)</f>
        <v>496</v>
      </c>
      <c r="E127">
        <f>IF(B127=1,annot_records!F127,-1)</f>
        <v>483</v>
      </c>
      <c r="F127">
        <f>IF(B127=1,annot_records!G127-(annot_records!E127+annot_records!I127)/2,-1)</f>
        <v>2663</v>
      </c>
      <c r="G127">
        <f>IF(B127=2,annot_records!O127-(annot_records!M127+annot_records!K127)*(annot_records!L127-annot_records!J127)/2,-1)</f>
        <v>-1</v>
      </c>
      <c r="H127">
        <f>IF(B127=2,annot_records!N127,-1)</f>
        <v>-1</v>
      </c>
    </row>
    <row r="128" spans="1:8" x14ac:dyDescent="0.25">
      <c r="A128">
        <f>annot_records!A128</f>
        <v>49</v>
      </c>
      <c r="B128">
        <f>IF(annot_records!B128="峰标注",1,2)</f>
        <v>2</v>
      </c>
      <c r="C128">
        <f>IF(B128=1,annot_records!D128,annot_records!J128)</f>
        <v>868</v>
      </c>
      <c r="D128">
        <f>IF(B128=1,annot_records!H128,annot_records!L128)</f>
        <v>911</v>
      </c>
      <c r="E128">
        <f>IF(B128=1,annot_records!F128,-1)</f>
        <v>-1</v>
      </c>
      <c r="F128">
        <f>IF(B128=1,annot_records!G128-(annot_records!E128+annot_records!I128)/2,-1)</f>
        <v>-1</v>
      </c>
      <c r="G128">
        <f>IF(B128=2,annot_records!O128-(annot_records!M128+annot_records!K128)*(annot_records!L128-annot_records!J128)/2,-1)</f>
        <v>136158</v>
      </c>
      <c r="H128">
        <f>IF(B128=2,annot_records!N128,-1)</f>
        <v>2</v>
      </c>
    </row>
    <row r="129" spans="1:8" x14ac:dyDescent="0.25">
      <c r="A129">
        <f>annot_records!A129</f>
        <v>50</v>
      </c>
      <c r="B129">
        <f>IF(annot_records!B129="峰标注",1,2)</f>
        <v>2</v>
      </c>
      <c r="C129">
        <f>IF(B129=1,annot_records!D129,annot_records!J129)</f>
        <v>296</v>
      </c>
      <c r="D129">
        <f>IF(B129=1,annot_records!H129,annot_records!L129)</f>
        <v>366</v>
      </c>
      <c r="E129">
        <f>IF(B129=1,annot_records!F129,-1)</f>
        <v>-1</v>
      </c>
      <c r="F129">
        <f>IF(B129=1,annot_records!G129-(annot_records!E129+annot_records!I129)/2,-1)</f>
        <v>-1</v>
      </c>
      <c r="G129">
        <f>IF(B129=2,annot_records!O129-(annot_records!M129+annot_records!K129)*(annot_records!L129-annot_records!J129)/2,-1)</f>
        <v>289823</v>
      </c>
      <c r="H129">
        <f>IF(B129=2,annot_records!N129,-1)</f>
        <v>2</v>
      </c>
    </row>
    <row r="130" spans="1:8" x14ac:dyDescent="0.25">
      <c r="A130">
        <f>annot_records!A130</f>
        <v>50</v>
      </c>
      <c r="B130">
        <f>IF(annot_records!B130="峰标注",1,2)</f>
        <v>1</v>
      </c>
      <c r="C130">
        <f>IF(B130=1,annot_records!D130,annot_records!J130)</f>
        <v>452</v>
      </c>
      <c r="D130">
        <f>IF(B130=1,annot_records!H130,annot_records!L130)</f>
        <v>501</v>
      </c>
      <c r="E130">
        <f>IF(B130=1,annot_records!F130,-1)</f>
        <v>486</v>
      </c>
      <c r="F130">
        <f>IF(B130=1,annot_records!G130-(annot_records!E130+annot_records!I130)/2,-1)</f>
        <v>3426</v>
      </c>
      <c r="G130">
        <f>IF(B130=2,annot_records!O130-(annot_records!M130+annot_records!K130)*(annot_records!L130-annot_records!J130)/2,-1)</f>
        <v>-1</v>
      </c>
      <c r="H130">
        <f>IF(B130=2,annot_records!N130,-1)</f>
        <v>-1</v>
      </c>
    </row>
    <row r="131" spans="1:8" x14ac:dyDescent="0.25">
      <c r="A131">
        <f>annot_records!A131</f>
        <v>50</v>
      </c>
      <c r="B131">
        <f>IF(annot_records!B131="峰标注",1,2)</f>
        <v>1</v>
      </c>
      <c r="C131">
        <f>IF(B131=1,annot_records!D131,annot_records!J131)</f>
        <v>871</v>
      </c>
      <c r="D131">
        <f>IF(B131=1,annot_records!H131,annot_records!L131)</f>
        <v>913</v>
      </c>
      <c r="E131">
        <f>IF(B131=1,annot_records!F131,-1)</f>
        <v>891</v>
      </c>
      <c r="F131">
        <f>IF(B131=1,annot_records!G131-(annot_records!E131+annot_records!I131)/2,-1)</f>
        <v>11081</v>
      </c>
      <c r="G131">
        <f>IF(B131=2,annot_records!O131-(annot_records!M131+annot_records!K131)*(annot_records!L131-annot_records!J131)/2,-1)</f>
        <v>-1</v>
      </c>
      <c r="H131">
        <f>IF(B131=2,annot_records!N131,-1)</f>
        <v>-1</v>
      </c>
    </row>
    <row r="132" spans="1:8" x14ac:dyDescent="0.25">
      <c r="A132">
        <f>annot_records!A132</f>
        <v>51</v>
      </c>
      <c r="B132">
        <f>IF(annot_records!B132="峰标注",1,2)</f>
        <v>2</v>
      </c>
      <c r="C132">
        <f>IF(B132=1,annot_records!D132,annot_records!J132)</f>
        <v>300</v>
      </c>
      <c r="D132">
        <f>IF(B132=1,annot_records!H132,annot_records!L132)</f>
        <v>378</v>
      </c>
      <c r="E132">
        <f>IF(B132=1,annot_records!F132,-1)</f>
        <v>-1</v>
      </c>
      <c r="F132">
        <f>IF(B132=1,annot_records!G132-(annot_records!E132+annot_records!I132)/2,-1)</f>
        <v>-1</v>
      </c>
      <c r="G132">
        <f>IF(B132=2,annot_records!O132-(annot_records!M132+annot_records!K132)*(annot_records!L132-annot_records!J132)/2,-1)</f>
        <v>473647</v>
      </c>
      <c r="H132">
        <f>IF(B132=2,annot_records!N132,-1)</f>
        <v>2</v>
      </c>
    </row>
    <row r="133" spans="1:8" x14ac:dyDescent="0.25">
      <c r="A133">
        <f>annot_records!A133</f>
        <v>51</v>
      </c>
      <c r="B133">
        <f>IF(annot_records!B133="峰标注",1,2)</f>
        <v>1</v>
      </c>
      <c r="C133">
        <f>IF(B133=1,annot_records!D133,annot_records!J133)</f>
        <v>458</v>
      </c>
      <c r="D133">
        <f>IF(B133=1,annot_records!H133,annot_records!L133)</f>
        <v>505</v>
      </c>
      <c r="E133">
        <f>IF(B133=1,annot_records!F133,-1)</f>
        <v>488</v>
      </c>
      <c r="F133">
        <f>IF(B133=1,annot_records!G133-(annot_records!E133+annot_records!I133)/2,-1)</f>
        <v>4355.9999999999991</v>
      </c>
      <c r="G133">
        <f>IF(B133=2,annot_records!O133-(annot_records!M133+annot_records!K133)*(annot_records!L133-annot_records!J133)/2,-1)</f>
        <v>-1</v>
      </c>
      <c r="H133">
        <f>IF(B133=2,annot_records!N133,-1)</f>
        <v>-1</v>
      </c>
    </row>
    <row r="134" spans="1:8" x14ac:dyDescent="0.25">
      <c r="A134">
        <f>annot_records!A134</f>
        <v>51</v>
      </c>
      <c r="B134">
        <f>IF(annot_records!B134="峰标注",1,2)</f>
        <v>2</v>
      </c>
      <c r="C134">
        <f>IF(B134=1,annot_records!D134,annot_records!J134)</f>
        <v>868</v>
      </c>
      <c r="D134">
        <f>IF(B134=1,annot_records!H134,annot_records!L134)</f>
        <v>921</v>
      </c>
      <c r="E134">
        <f>IF(B134=1,annot_records!F134,-1)</f>
        <v>-1</v>
      </c>
      <c r="F134">
        <f>IF(B134=1,annot_records!G134-(annot_records!E134+annot_records!I134)/2,-1)</f>
        <v>-1</v>
      </c>
      <c r="G134">
        <f>IF(B134=2,annot_records!O134-(annot_records!M134+annot_records!K134)*(annot_records!L134-annot_records!J134)/2,-1)</f>
        <v>259193</v>
      </c>
      <c r="H134">
        <f>IF(B134=2,annot_records!N134,-1)</f>
        <v>2</v>
      </c>
    </row>
    <row r="135" spans="1:8" x14ac:dyDescent="0.25">
      <c r="A135">
        <f>annot_records!A135</f>
        <v>52</v>
      </c>
      <c r="B135">
        <f>IF(annot_records!B135="峰标注",1,2)</f>
        <v>1</v>
      </c>
      <c r="C135">
        <f>IF(B135=1,annot_records!D135,annot_records!J135)</f>
        <v>43</v>
      </c>
      <c r="D135">
        <f>IF(B135=1,annot_records!H135,annot_records!L135)</f>
        <v>68</v>
      </c>
      <c r="E135">
        <f>IF(B135=1,annot_records!F135,-1)</f>
        <v>54</v>
      </c>
      <c r="F135">
        <f>IF(B135=1,annot_records!G135-(annot_records!E135+annot_records!I135)/2,-1)</f>
        <v>929</v>
      </c>
      <c r="G135">
        <f>IF(B135=2,annot_records!O135-(annot_records!M135+annot_records!K135)*(annot_records!L135-annot_records!J135)/2,-1)</f>
        <v>-1</v>
      </c>
      <c r="H135">
        <f>IF(B135=2,annot_records!N135,-1)</f>
        <v>-1</v>
      </c>
    </row>
    <row r="136" spans="1:8" x14ac:dyDescent="0.25">
      <c r="A136">
        <f>annot_records!A136</f>
        <v>52</v>
      </c>
      <c r="B136">
        <f>IF(annot_records!B136="峰标注",1,2)</f>
        <v>1</v>
      </c>
      <c r="C136">
        <f>IF(B136=1,annot_records!D136,annot_records!J136)</f>
        <v>116</v>
      </c>
      <c r="D136">
        <f>IF(B136=1,annot_records!H136,annot_records!L136)</f>
        <v>170</v>
      </c>
      <c r="E136">
        <f>IF(B136=1,annot_records!F136,-1)</f>
        <v>153</v>
      </c>
      <c r="F136">
        <f>IF(B136=1,annot_records!G136-(annot_records!E136+annot_records!I136)/2,-1)</f>
        <v>14637</v>
      </c>
      <c r="G136">
        <f>IF(B136=2,annot_records!O136-(annot_records!M136+annot_records!K136)*(annot_records!L136-annot_records!J136)/2,-1)</f>
        <v>-1</v>
      </c>
      <c r="H136">
        <f>IF(B136=2,annot_records!N136,-1)</f>
        <v>-1</v>
      </c>
    </row>
    <row r="137" spans="1:8" x14ac:dyDescent="0.25">
      <c r="A137">
        <f>annot_records!A137</f>
        <v>53</v>
      </c>
      <c r="B137">
        <f>IF(annot_records!B137="峰标注",1,2)</f>
        <v>1</v>
      </c>
      <c r="C137">
        <f>IF(B137=1,annot_records!D137,annot_records!J137)</f>
        <v>43</v>
      </c>
      <c r="D137">
        <f>IF(B137=1,annot_records!H137,annot_records!L137)</f>
        <v>61</v>
      </c>
      <c r="E137">
        <f>IF(B137=1,annot_records!F137,-1)</f>
        <v>51</v>
      </c>
      <c r="F137">
        <f>IF(B137=1,annot_records!G137-(annot_records!E137+annot_records!I137)/2,-1)</f>
        <v>466.5</v>
      </c>
      <c r="G137">
        <f>IF(B137=2,annot_records!O137-(annot_records!M137+annot_records!K137)*(annot_records!L137-annot_records!J137)/2,-1)</f>
        <v>-1</v>
      </c>
      <c r="H137">
        <f>IF(B137=2,annot_records!N137,-1)</f>
        <v>-1</v>
      </c>
    </row>
    <row r="138" spans="1:8" x14ac:dyDescent="0.25">
      <c r="A138">
        <f>annot_records!A138</f>
        <v>53</v>
      </c>
      <c r="B138">
        <f>IF(annot_records!B138="峰标注",1,2)</f>
        <v>1</v>
      </c>
      <c r="C138">
        <f>IF(B138=1,annot_records!D138,annot_records!J138)</f>
        <v>69</v>
      </c>
      <c r="D138">
        <f>IF(B138=1,annot_records!H138,annot_records!L138)</f>
        <v>91</v>
      </c>
      <c r="E138">
        <f>IF(B138=1,annot_records!F138,-1)</f>
        <v>81</v>
      </c>
      <c r="F138">
        <f>IF(B138=1,annot_records!G138-(annot_records!E138+annot_records!I138)/2,-1)</f>
        <v>402.5</v>
      </c>
      <c r="G138">
        <f>IF(B138=2,annot_records!O138-(annot_records!M138+annot_records!K138)*(annot_records!L138-annot_records!J138)/2,-1)</f>
        <v>-1</v>
      </c>
      <c r="H138">
        <f>IF(B138=2,annot_records!N138,-1)</f>
        <v>-1</v>
      </c>
    </row>
    <row r="139" spans="1:8" x14ac:dyDescent="0.25">
      <c r="A139">
        <f>annot_records!A139</f>
        <v>53</v>
      </c>
      <c r="B139">
        <f>IF(annot_records!B139="峰标注",1,2)</f>
        <v>1</v>
      </c>
      <c r="C139">
        <f>IF(B139=1,annot_records!D139,annot_records!J139)</f>
        <v>120</v>
      </c>
      <c r="D139">
        <f>IF(B139=1,annot_records!H139,annot_records!L139)</f>
        <v>163</v>
      </c>
      <c r="E139">
        <f>IF(B139=1,annot_records!F139,-1)</f>
        <v>151</v>
      </c>
      <c r="F139">
        <f>IF(B139=1,annot_records!G139-(annot_records!E139+annot_records!I139)/2,-1)</f>
        <v>11374</v>
      </c>
      <c r="G139">
        <f>IF(B139=2,annot_records!O139-(annot_records!M139+annot_records!K139)*(annot_records!L139-annot_records!J139)/2,-1)</f>
        <v>-1</v>
      </c>
      <c r="H139">
        <f>IF(B139=2,annot_records!N139,-1)</f>
        <v>-1</v>
      </c>
    </row>
    <row r="140" spans="1:8" x14ac:dyDescent="0.25">
      <c r="A140">
        <f>annot_records!A140</f>
        <v>54</v>
      </c>
      <c r="B140">
        <f>IF(annot_records!B140="峰标注",1,2)</f>
        <v>1</v>
      </c>
      <c r="C140">
        <f>IF(B140=1,annot_records!D140,annot_records!J140)</f>
        <v>112</v>
      </c>
      <c r="D140">
        <f>IF(B140=1,annot_records!H140,annot_records!L140)</f>
        <v>156</v>
      </c>
      <c r="E140">
        <f>IF(B140=1,annot_records!F140,-1)</f>
        <v>143</v>
      </c>
      <c r="F140">
        <f>IF(B140=1,annot_records!G140-(annot_records!E140+annot_records!I140)/2,-1)</f>
        <v>6699.5</v>
      </c>
      <c r="G140">
        <f>IF(B140=2,annot_records!O140-(annot_records!M140+annot_records!K140)*(annot_records!L140-annot_records!J140)/2,-1)</f>
        <v>-1</v>
      </c>
      <c r="H140">
        <f>IF(B140=2,annot_records!N140,-1)</f>
        <v>-1</v>
      </c>
    </row>
    <row r="141" spans="1:8" x14ac:dyDescent="0.25">
      <c r="A141">
        <f>annot_records!A141</f>
        <v>55</v>
      </c>
      <c r="B141">
        <f>IF(annot_records!B141="峰标注",1,2)</f>
        <v>1</v>
      </c>
      <c r="C141">
        <f>IF(B141=1,annot_records!D141,annot_records!J141)</f>
        <v>112</v>
      </c>
      <c r="D141">
        <f>IF(B141=1,annot_records!H141,annot_records!L141)</f>
        <v>148</v>
      </c>
      <c r="E141">
        <f>IF(B141=1,annot_records!F141,-1)</f>
        <v>136</v>
      </c>
      <c r="F141">
        <f>IF(B141=1,annot_records!G141-(annot_records!E141+annot_records!I141)/2,-1)</f>
        <v>3239</v>
      </c>
      <c r="G141">
        <f>IF(B141=2,annot_records!O141-(annot_records!M141+annot_records!K141)*(annot_records!L141-annot_records!J141)/2,-1)</f>
        <v>-1</v>
      </c>
      <c r="H141">
        <f>IF(B141=2,annot_records!N141,-1)</f>
        <v>-1</v>
      </c>
    </row>
    <row r="142" spans="1:8" x14ac:dyDescent="0.25">
      <c r="A142">
        <f>annot_records!A142</f>
        <v>56</v>
      </c>
      <c r="B142">
        <f>IF(annot_records!B142="峰标注",1,2)</f>
        <v>1</v>
      </c>
      <c r="C142">
        <f>IF(B142=1,annot_records!D142,annot_records!J142)</f>
        <v>114</v>
      </c>
      <c r="D142">
        <f>IF(B142=1,annot_records!H142,annot_records!L142)</f>
        <v>145</v>
      </c>
      <c r="E142">
        <f>IF(B142=1,annot_records!F142,-1)</f>
        <v>134</v>
      </c>
      <c r="F142">
        <f>IF(B142=1,annot_records!G142-(annot_records!E142+annot_records!I142)/2,-1)</f>
        <v>1694.5</v>
      </c>
      <c r="G142">
        <f>IF(B142=2,annot_records!O142-(annot_records!M142+annot_records!K142)*(annot_records!L142-annot_records!J142)/2,-1)</f>
        <v>-1</v>
      </c>
      <c r="H142">
        <f>IF(B142=2,annot_records!N142,-1)</f>
        <v>-1</v>
      </c>
    </row>
    <row r="143" spans="1:8" x14ac:dyDescent="0.25">
      <c r="A143">
        <f>annot_records!A143</f>
        <v>57</v>
      </c>
      <c r="B143">
        <f>IF(annot_records!B143="峰标注",1,2)</f>
        <v>1</v>
      </c>
      <c r="C143">
        <f>IF(B143=1,annot_records!D143,annot_records!J143)</f>
        <v>119</v>
      </c>
      <c r="D143">
        <f>IF(B143=1,annot_records!H143,annot_records!L143)</f>
        <v>141</v>
      </c>
      <c r="E143">
        <f>IF(B143=1,annot_records!F143,-1)</f>
        <v>133</v>
      </c>
      <c r="F143">
        <f>IF(B143=1,annot_records!G143-(annot_records!E143+annot_records!I143)/2,-1)</f>
        <v>617.5</v>
      </c>
      <c r="G143">
        <f>IF(B143=2,annot_records!O143-(annot_records!M143+annot_records!K143)*(annot_records!L143-annot_records!J143)/2,-1)</f>
        <v>-1</v>
      </c>
      <c r="H143">
        <f>IF(B143=2,annot_records!N143,-1)</f>
        <v>-1</v>
      </c>
    </row>
    <row r="144" spans="1:8" x14ac:dyDescent="0.25">
      <c r="A144">
        <f>annot_records!A144</f>
        <v>58</v>
      </c>
      <c r="B144">
        <f>IF(annot_records!B144="峰标注",1,2)</f>
        <v>1</v>
      </c>
      <c r="C144">
        <f>IF(B144=1,annot_records!D144,annot_records!J144)</f>
        <v>120</v>
      </c>
      <c r="D144">
        <f>IF(B144=1,annot_records!H144,annot_records!L144)</f>
        <v>143</v>
      </c>
      <c r="E144">
        <f>IF(B144=1,annot_records!F144,-1)</f>
        <v>133</v>
      </c>
      <c r="F144">
        <f>IF(B144=1,annot_records!G144-(annot_records!E144+annot_records!I144)/2,-1)</f>
        <v>219</v>
      </c>
      <c r="G144">
        <f>IF(B144=2,annot_records!O144-(annot_records!M144+annot_records!K144)*(annot_records!L144-annot_records!J144)/2,-1)</f>
        <v>-1</v>
      </c>
      <c r="H144">
        <f>IF(B144=2,annot_records!N144,-1)</f>
        <v>-1</v>
      </c>
    </row>
    <row r="145" spans="1:8" x14ac:dyDescent="0.25">
      <c r="A145">
        <f>annot_records!A145</f>
        <v>58</v>
      </c>
      <c r="B145">
        <f>IF(annot_records!B145="峰标注",1,2)</f>
        <v>1</v>
      </c>
      <c r="C145">
        <f>IF(B145=1,annot_records!D145,annot_records!J145)</f>
        <v>422</v>
      </c>
      <c r="D145">
        <f>IF(B145=1,annot_records!H145,annot_records!L145)</f>
        <v>444</v>
      </c>
      <c r="E145">
        <f>IF(B145=1,annot_records!F145,-1)</f>
        <v>434</v>
      </c>
      <c r="F145">
        <f>IF(B145=1,annot_records!G145-(annot_records!E145+annot_records!I145)/2,-1)</f>
        <v>134</v>
      </c>
      <c r="G145">
        <f>IF(B145=2,annot_records!O145-(annot_records!M145+annot_records!K145)*(annot_records!L145-annot_records!J145)/2,-1)</f>
        <v>-1</v>
      </c>
      <c r="H145">
        <f>IF(B145=2,annot_records!N145,-1)</f>
        <v>-1</v>
      </c>
    </row>
    <row r="146" spans="1:8" x14ac:dyDescent="0.25">
      <c r="A146">
        <f>annot_records!A146</f>
        <v>59</v>
      </c>
      <c r="B146">
        <f>IF(annot_records!B146="峰标注",1,2)</f>
        <v>2</v>
      </c>
      <c r="C146">
        <f>IF(B146=1,annot_records!D146,annot_records!J146)</f>
        <v>31</v>
      </c>
      <c r="D146">
        <f>IF(B146=1,annot_records!H146,annot_records!L146)</f>
        <v>71</v>
      </c>
      <c r="E146">
        <f>IF(B146=1,annot_records!F146,-1)</f>
        <v>-1</v>
      </c>
      <c r="F146">
        <f>IF(B146=1,annot_records!G146-(annot_records!E146+annot_records!I146)/2,-1)</f>
        <v>-1</v>
      </c>
      <c r="G146">
        <f>IF(B146=2,annot_records!O146-(annot_records!M146+annot_records!K146)*(annot_records!L146-annot_records!J146)/2,-1)</f>
        <v>121550</v>
      </c>
      <c r="H146">
        <f>IF(B146=2,annot_records!N146,-1)</f>
        <v>2</v>
      </c>
    </row>
    <row r="147" spans="1:8" x14ac:dyDescent="0.25">
      <c r="A147">
        <f>annot_records!A147</f>
        <v>59</v>
      </c>
      <c r="B147">
        <f>IF(annot_records!B147="峰标注",1,2)</f>
        <v>1</v>
      </c>
      <c r="C147">
        <f>IF(B147=1,annot_records!D147,annot_records!J147)</f>
        <v>120</v>
      </c>
      <c r="D147">
        <f>IF(B147=1,annot_records!H147,annot_records!L147)</f>
        <v>156</v>
      </c>
      <c r="E147">
        <f>IF(B147=1,annot_records!F147,-1)</f>
        <v>142</v>
      </c>
      <c r="F147">
        <f>IF(B147=1,annot_records!G147-(annot_records!E147+annot_records!I147)/2,-1)</f>
        <v>5321</v>
      </c>
      <c r="G147">
        <f>IF(B147=2,annot_records!O147-(annot_records!M147+annot_records!K147)*(annot_records!L147-annot_records!J147)/2,-1)</f>
        <v>-1</v>
      </c>
      <c r="H147">
        <f>IF(B147=2,annot_records!N147,-1)</f>
        <v>-1</v>
      </c>
    </row>
    <row r="148" spans="1:8" x14ac:dyDescent="0.25">
      <c r="A148">
        <f>annot_records!A148</f>
        <v>59</v>
      </c>
      <c r="B148">
        <f>IF(annot_records!B148="峰标注",1,2)</f>
        <v>1</v>
      </c>
      <c r="C148">
        <f>IF(B148=1,annot_records!D148,annot_records!J148)</f>
        <v>419</v>
      </c>
      <c r="D148">
        <f>IF(B148=1,annot_records!H148,annot_records!L148)</f>
        <v>456</v>
      </c>
      <c r="E148">
        <f>IF(B148=1,annot_records!F148,-1)</f>
        <v>442</v>
      </c>
      <c r="F148">
        <f>IF(B148=1,annot_records!G148-(annot_records!E148+annot_records!I148)/2,-1)</f>
        <v>9880</v>
      </c>
      <c r="G148">
        <f>IF(B148=2,annot_records!O148-(annot_records!M148+annot_records!K148)*(annot_records!L148-annot_records!J148)/2,-1)</f>
        <v>-1</v>
      </c>
      <c r="H148">
        <f>IF(B148=2,annot_records!N148,-1)</f>
        <v>-1</v>
      </c>
    </row>
    <row r="149" spans="1:8" x14ac:dyDescent="0.25">
      <c r="A149">
        <f>annot_records!A149</f>
        <v>60</v>
      </c>
      <c r="B149">
        <f>IF(annot_records!B149="峰标注",1,2)</f>
        <v>2</v>
      </c>
      <c r="C149">
        <f>IF(B149=1,annot_records!D149,annot_records!J149)</f>
        <v>265</v>
      </c>
      <c r="D149">
        <f>IF(B149=1,annot_records!H149,annot_records!L149)</f>
        <v>309</v>
      </c>
      <c r="E149">
        <f>IF(B149=1,annot_records!F149,-1)</f>
        <v>-1</v>
      </c>
      <c r="F149">
        <f>IF(B149=1,annot_records!G149-(annot_records!E149+annot_records!I149)/2,-1)</f>
        <v>-1</v>
      </c>
      <c r="G149">
        <f>IF(B149=2,annot_records!O149-(annot_records!M149+annot_records!K149)*(annot_records!L149-annot_records!J149)/2,-1)</f>
        <v>12491</v>
      </c>
      <c r="H149">
        <f>IF(B149=2,annot_records!N149,-1)</f>
        <v>2</v>
      </c>
    </row>
    <row r="150" spans="1:8" x14ac:dyDescent="0.25">
      <c r="A150">
        <f>annot_records!A150</f>
        <v>60</v>
      </c>
      <c r="B150">
        <f>IF(annot_records!B150="峰标注",1,2)</f>
        <v>1</v>
      </c>
      <c r="C150">
        <f>IF(B150=1,annot_records!D150,annot_records!J150)</f>
        <v>345</v>
      </c>
      <c r="D150">
        <f>IF(B150=1,annot_records!H150,annot_records!L150)</f>
        <v>369</v>
      </c>
      <c r="E150">
        <f>IF(B150=1,annot_records!F150,-1)</f>
        <v>362</v>
      </c>
      <c r="F150">
        <f>IF(B150=1,annot_records!G150-(annot_records!E150+annot_records!I150)/2,-1)</f>
        <v>98.5</v>
      </c>
      <c r="G150">
        <f>IF(B150=2,annot_records!O150-(annot_records!M150+annot_records!K150)*(annot_records!L150-annot_records!J150)/2,-1)</f>
        <v>-1</v>
      </c>
      <c r="H150">
        <f>IF(B150=2,annot_records!N150,-1)</f>
        <v>-1</v>
      </c>
    </row>
    <row r="151" spans="1:8" x14ac:dyDescent="0.25">
      <c r="A151">
        <f>annot_records!A151</f>
        <v>60</v>
      </c>
      <c r="B151">
        <f>IF(annot_records!B151="峰标注",1,2)</f>
        <v>1</v>
      </c>
      <c r="C151">
        <f>IF(B151=1,annot_records!D151,annot_records!J151)</f>
        <v>581</v>
      </c>
      <c r="D151">
        <f>IF(B151=1,annot_records!H151,annot_records!L151)</f>
        <v>614</v>
      </c>
      <c r="E151">
        <f>IF(B151=1,annot_records!F151,-1)</f>
        <v>599</v>
      </c>
      <c r="F151">
        <f>IF(B151=1,annot_records!G151-(annot_records!E151+annot_records!I151)/2,-1)</f>
        <v>274</v>
      </c>
      <c r="G151">
        <f>IF(B151=2,annot_records!O151-(annot_records!M151+annot_records!K151)*(annot_records!L151-annot_records!J151)/2,-1)</f>
        <v>-1</v>
      </c>
      <c r="H151">
        <f>IF(B151=2,annot_records!N151,-1)</f>
        <v>-1</v>
      </c>
    </row>
    <row r="152" spans="1:8" x14ac:dyDescent="0.25">
      <c r="A152">
        <f>annot_records!A152</f>
        <v>61</v>
      </c>
      <c r="B152">
        <f>IF(annot_records!B152="峰标注",1,2)</f>
        <v>2</v>
      </c>
      <c r="C152">
        <f>IF(B152=1,annot_records!D152,annot_records!J152)</f>
        <v>262</v>
      </c>
      <c r="D152">
        <f>IF(B152=1,annot_records!H152,annot_records!L152)</f>
        <v>308</v>
      </c>
      <c r="E152">
        <f>IF(B152=1,annot_records!F152,-1)</f>
        <v>-1</v>
      </c>
      <c r="F152">
        <f>IF(B152=1,annot_records!G152-(annot_records!E152+annot_records!I152)/2,-1)</f>
        <v>-1</v>
      </c>
      <c r="G152">
        <f>IF(B152=2,annot_records!O152-(annot_records!M152+annot_records!K152)*(annot_records!L152-annot_records!J152)/2,-1)</f>
        <v>19498</v>
      </c>
      <c r="H152">
        <f>IF(B152=2,annot_records!N152,-1)</f>
        <v>2</v>
      </c>
    </row>
    <row r="153" spans="1:8" x14ac:dyDescent="0.25">
      <c r="A153">
        <f>annot_records!A153</f>
        <v>61</v>
      </c>
      <c r="B153">
        <f>IF(annot_records!B153="峰标注",1,2)</f>
        <v>1</v>
      </c>
      <c r="C153">
        <f>IF(B153=1,annot_records!D153,annot_records!J153)</f>
        <v>346</v>
      </c>
      <c r="D153">
        <f>IF(B153=1,annot_records!H153,annot_records!L153)</f>
        <v>370</v>
      </c>
      <c r="E153">
        <f>IF(B153=1,annot_records!F153,-1)</f>
        <v>361</v>
      </c>
      <c r="F153">
        <f>IF(B153=1,annot_records!G153-(annot_records!E153+annot_records!I153)/2,-1)</f>
        <v>307</v>
      </c>
      <c r="G153">
        <f>IF(B153=2,annot_records!O153-(annot_records!M153+annot_records!K153)*(annot_records!L153-annot_records!J153)/2,-1)</f>
        <v>-1</v>
      </c>
      <c r="H153">
        <f>IF(B153=2,annot_records!N153,-1)</f>
        <v>-1</v>
      </c>
    </row>
    <row r="154" spans="1:8" x14ac:dyDescent="0.25">
      <c r="A154">
        <f>annot_records!A154</f>
        <v>61</v>
      </c>
      <c r="B154">
        <f>IF(annot_records!B154="峰标注",1,2)</f>
        <v>1</v>
      </c>
      <c r="C154">
        <f>IF(B154=1,annot_records!D154,annot_records!J154)</f>
        <v>581</v>
      </c>
      <c r="D154">
        <f>IF(B154=1,annot_records!H154,annot_records!L154)</f>
        <v>612</v>
      </c>
      <c r="E154">
        <f>IF(B154=1,annot_records!F154,-1)</f>
        <v>598</v>
      </c>
      <c r="F154">
        <f>IF(B154=1,annot_records!G154-(annot_records!E154+annot_records!I154)/2,-1)</f>
        <v>655.5</v>
      </c>
      <c r="G154">
        <f>IF(B154=2,annot_records!O154-(annot_records!M154+annot_records!K154)*(annot_records!L154-annot_records!J154)/2,-1)</f>
        <v>-1</v>
      </c>
      <c r="H154">
        <f>IF(B154=2,annot_records!N154,-1)</f>
        <v>-1</v>
      </c>
    </row>
    <row r="155" spans="1:8" x14ac:dyDescent="0.25">
      <c r="A155">
        <f>annot_records!A155</f>
        <v>62</v>
      </c>
      <c r="B155">
        <f>IF(annot_records!B155="峰标注",1,2)</f>
        <v>1</v>
      </c>
      <c r="C155">
        <f>IF(B155=1,annot_records!D155,annot_records!J155)</f>
        <v>282</v>
      </c>
      <c r="D155">
        <f>IF(B155=1,annot_records!H155,annot_records!L155)</f>
        <v>306</v>
      </c>
      <c r="E155">
        <f>IF(B155=1,annot_records!F155,-1)</f>
        <v>294</v>
      </c>
      <c r="F155">
        <f>IF(B155=1,annot_records!G155-(annot_records!E155+annot_records!I155)/2,-1)</f>
        <v>1851.5</v>
      </c>
      <c r="G155">
        <f>IF(B155=2,annot_records!O155-(annot_records!M155+annot_records!K155)*(annot_records!L155-annot_records!J155)/2,-1)</f>
        <v>-1</v>
      </c>
      <c r="H155">
        <f>IF(B155=2,annot_records!N155,-1)</f>
        <v>-1</v>
      </c>
    </row>
    <row r="156" spans="1:8" x14ac:dyDescent="0.25">
      <c r="A156">
        <f>annot_records!A156</f>
        <v>62</v>
      </c>
      <c r="B156">
        <f>IF(annot_records!B156="峰标注",1,2)</f>
        <v>1</v>
      </c>
      <c r="C156">
        <f>IF(B156=1,annot_records!D156,annot_records!J156)</f>
        <v>346</v>
      </c>
      <c r="D156">
        <f>IF(B156=1,annot_records!H156,annot_records!L156)</f>
        <v>371</v>
      </c>
      <c r="E156">
        <f>IF(B156=1,annot_records!F156,-1)</f>
        <v>364</v>
      </c>
      <c r="F156">
        <f>IF(B156=1,annot_records!G156-(annot_records!E156+annot_records!I156)/2,-1)</f>
        <v>810</v>
      </c>
      <c r="G156">
        <f>IF(B156=2,annot_records!O156-(annot_records!M156+annot_records!K156)*(annot_records!L156-annot_records!J156)/2,-1)</f>
        <v>-1</v>
      </c>
      <c r="H156">
        <f>IF(B156=2,annot_records!N156,-1)</f>
        <v>-1</v>
      </c>
    </row>
    <row r="157" spans="1:8" x14ac:dyDescent="0.25">
      <c r="A157">
        <f>annot_records!A157</f>
        <v>62</v>
      </c>
      <c r="B157">
        <f>IF(annot_records!B157="峰标注",1,2)</f>
        <v>1</v>
      </c>
      <c r="C157">
        <f>IF(B157=1,annot_records!D157,annot_records!J157)</f>
        <v>581</v>
      </c>
      <c r="D157">
        <f>IF(B157=1,annot_records!H157,annot_records!L157)</f>
        <v>611</v>
      </c>
      <c r="E157">
        <f>IF(B157=1,annot_records!F157,-1)</f>
        <v>600</v>
      </c>
      <c r="F157">
        <f>IF(B157=1,annot_records!G157-(annot_records!E157+annot_records!I157)/2,-1)</f>
        <v>2063.5</v>
      </c>
      <c r="G157">
        <f>IF(B157=2,annot_records!O157-(annot_records!M157+annot_records!K157)*(annot_records!L157-annot_records!J157)/2,-1)</f>
        <v>-1</v>
      </c>
      <c r="H157">
        <f>IF(B157=2,annot_records!N157,-1)</f>
        <v>-1</v>
      </c>
    </row>
    <row r="158" spans="1:8" x14ac:dyDescent="0.25">
      <c r="A158">
        <f>annot_records!A158</f>
        <v>63</v>
      </c>
      <c r="B158">
        <f>IF(annot_records!B158="峰标注",1,2)</f>
        <v>2</v>
      </c>
      <c r="C158">
        <f>IF(B158=1,annot_records!D158,annot_records!J158)</f>
        <v>263</v>
      </c>
      <c r="D158">
        <f>IF(B158=1,annot_records!H158,annot_records!L158)</f>
        <v>309</v>
      </c>
      <c r="E158">
        <f>IF(B158=1,annot_records!F158,-1)</f>
        <v>-1</v>
      </c>
      <c r="F158">
        <f>IF(B158=1,annot_records!G158-(annot_records!E158+annot_records!I158)/2,-1)</f>
        <v>-1</v>
      </c>
      <c r="G158">
        <f>IF(B158=2,annot_records!O158-(annot_records!M158+annot_records!K158)*(annot_records!L158-annot_records!J158)/2,-1)</f>
        <v>72436</v>
      </c>
      <c r="H158">
        <f>IF(B158=2,annot_records!N158,-1)</f>
        <v>2</v>
      </c>
    </row>
    <row r="159" spans="1:8" x14ac:dyDescent="0.25">
      <c r="A159">
        <f>annot_records!A159</f>
        <v>63</v>
      </c>
      <c r="B159">
        <f>IF(annot_records!B159="峰标注",1,2)</f>
        <v>1</v>
      </c>
      <c r="C159">
        <f>IF(B159=1,annot_records!D159,annot_records!J159)</f>
        <v>335</v>
      </c>
      <c r="D159">
        <f>IF(B159=1,annot_records!H159,annot_records!L159)</f>
        <v>347</v>
      </c>
      <c r="E159">
        <f>IF(B159=1,annot_records!F159,-1)</f>
        <v>343</v>
      </c>
      <c r="F159">
        <f>IF(B159=1,annot_records!G159-(annot_records!E159+annot_records!I159)/2,-1)</f>
        <v>1039</v>
      </c>
      <c r="G159">
        <f>IF(B159=2,annot_records!O159-(annot_records!M159+annot_records!K159)*(annot_records!L159-annot_records!J159)/2,-1)</f>
        <v>-1</v>
      </c>
      <c r="H159">
        <f>IF(B159=2,annot_records!N159,-1)</f>
        <v>-1</v>
      </c>
    </row>
    <row r="160" spans="1:8" x14ac:dyDescent="0.25">
      <c r="A160">
        <f>annot_records!A160</f>
        <v>63</v>
      </c>
      <c r="B160">
        <f>IF(annot_records!B160="峰标注",1,2)</f>
        <v>1</v>
      </c>
      <c r="C160">
        <f>IF(B160=1,annot_records!D160,annot_records!J160)</f>
        <v>348</v>
      </c>
      <c r="D160">
        <f>IF(B160=1,annot_records!H160,annot_records!L160)</f>
        <v>375</v>
      </c>
      <c r="E160">
        <f>IF(B160=1,annot_records!F160,-1)</f>
        <v>366</v>
      </c>
      <c r="F160">
        <f>IF(B160=1,annot_records!G160-(annot_records!E160+annot_records!I160)/2,-1)</f>
        <v>1695.5</v>
      </c>
      <c r="G160">
        <f>IF(B160=2,annot_records!O160-(annot_records!M160+annot_records!K160)*(annot_records!L160-annot_records!J160)/2,-1)</f>
        <v>-1</v>
      </c>
      <c r="H160">
        <f>IF(B160=2,annot_records!N160,-1)</f>
        <v>-1</v>
      </c>
    </row>
    <row r="161" spans="1:8" x14ac:dyDescent="0.25">
      <c r="A161">
        <f>annot_records!A161</f>
        <v>63</v>
      </c>
      <c r="B161">
        <f>IF(annot_records!B161="峰标注",1,2)</f>
        <v>1</v>
      </c>
      <c r="C161">
        <f>IF(B161=1,annot_records!D161,annot_records!J161)</f>
        <v>579</v>
      </c>
      <c r="D161">
        <f>IF(B161=1,annot_records!H161,annot_records!L161)</f>
        <v>616</v>
      </c>
      <c r="E161">
        <f>IF(B161=1,annot_records!F161,-1)</f>
        <v>601</v>
      </c>
      <c r="F161">
        <f>IF(B161=1,annot_records!G161-(annot_records!E161+annot_records!I161)/2,-1)</f>
        <v>4558</v>
      </c>
      <c r="G161">
        <f>IF(B161=2,annot_records!O161-(annot_records!M161+annot_records!K161)*(annot_records!L161-annot_records!J161)/2,-1)</f>
        <v>-1</v>
      </c>
      <c r="H161">
        <f>IF(B161=2,annot_records!N161,-1)</f>
        <v>-1</v>
      </c>
    </row>
    <row r="162" spans="1:8" x14ac:dyDescent="0.25">
      <c r="A162">
        <f>annot_records!A162</f>
        <v>64</v>
      </c>
      <c r="B162">
        <f>IF(annot_records!B162="峰标注",1,2)</f>
        <v>2</v>
      </c>
      <c r="C162">
        <f>IF(B162=1,annot_records!D162,annot_records!J162)</f>
        <v>262</v>
      </c>
      <c r="D162">
        <f>IF(B162=1,annot_records!H162,annot_records!L162)</f>
        <v>311</v>
      </c>
      <c r="E162">
        <f>IF(B162=1,annot_records!F162,-1)</f>
        <v>-1</v>
      </c>
      <c r="F162">
        <f>IF(B162=1,annot_records!G162-(annot_records!E162+annot_records!I162)/2,-1)</f>
        <v>-1</v>
      </c>
      <c r="G162">
        <f>IF(B162=2,annot_records!O162-(annot_records!M162+annot_records!K162)*(annot_records!L162-annot_records!J162)/2,-1)</f>
        <v>139845.5</v>
      </c>
      <c r="H162">
        <f>IF(B162=2,annot_records!N162,-1)</f>
        <v>2</v>
      </c>
    </row>
    <row r="163" spans="1:8" x14ac:dyDescent="0.25">
      <c r="A163">
        <f>annot_records!A163</f>
        <v>64</v>
      </c>
      <c r="B163">
        <f>IF(annot_records!B163="峰标注",1,2)</f>
        <v>1</v>
      </c>
      <c r="C163">
        <f>IF(B163=1,annot_records!D163,annot_records!J163)</f>
        <v>351</v>
      </c>
      <c r="D163">
        <f>IF(B163=1,annot_records!H163,annot_records!L163)</f>
        <v>381</v>
      </c>
      <c r="E163">
        <f>IF(B163=1,annot_records!F163,-1)</f>
        <v>371</v>
      </c>
      <c r="F163">
        <f>IF(B163=1,annot_records!G163-(annot_records!E163+annot_records!I163)/2,-1)</f>
        <v>3206</v>
      </c>
      <c r="G163">
        <f>IF(B163=2,annot_records!O163-(annot_records!M163+annot_records!K163)*(annot_records!L163-annot_records!J163)/2,-1)</f>
        <v>-1</v>
      </c>
      <c r="H163">
        <f>IF(B163=2,annot_records!N163,-1)</f>
        <v>-1</v>
      </c>
    </row>
    <row r="164" spans="1:8" x14ac:dyDescent="0.25">
      <c r="A164">
        <f>annot_records!A164</f>
        <v>64</v>
      </c>
      <c r="B164">
        <f>IF(annot_records!B164="峰标注",1,2)</f>
        <v>1</v>
      </c>
      <c r="C164">
        <f>IF(B164=1,annot_records!D164,annot_records!J164)</f>
        <v>576</v>
      </c>
      <c r="D164">
        <f>IF(B164=1,annot_records!H164,annot_records!L164)</f>
        <v>611</v>
      </c>
      <c r="E164">
        <f>IF(B164=1,annot_records!F164,-1)</f>
        <v>600</v>
      </c>
      <c r="F164">
        <f>IF(B164=1,annot_records!G164-(annot_records!E164+annot_records!I164)/2,-1)</f>
        <v>8344</v>
      </c>
      <c r="G164">
        <f>IF(B164=2,annot_records!O164-(annot_records!M164+annot_records!K164)*(annot_records!L164-annot_records!J164)/2,-1)</f>
        <v>-1</v>
      </c>
      <c r="H164">
        <f>IF(B164=2,annot_records!N164,-1)</f>
        <v>-1</v>
      </c>
    </row>
    <row r="165" spans="1:8" x14ac:dyDescent="0.25">
      <c r="A165">
        <f>annot_records!A165</f>
        <v>65</v>
      </c>
      <c r="B165">
        <f>IF(annot_records!B165="峰标注",1,2)</f>
        <v>2</v>
      </c>
      <c r="C165">
        <f>IF(B165=1,annot_records!D165,annot_records!J165)</f>
        <v>263</v>
      </c>
      <c r="D165">
        <f>IF(B165=1,annot_records!H165,annot_records!L165)</f>
        <v>314</v>
      </c>
      <c r="E165">
        <f>IF(B165=1,annot_records!F165,-1)</f>
        <v>-1</v>
      </c>
      <c r="F165">
        <f>IF(B165=1,annot_records!G165-(annot_records!E165+annot_records!I165)/2,-1)</f>
        <v>-1</v>
      </c>
      <c r="G165">
        <f>IF(B165=2,annot_records!O165-(annot_records!M165+annot_records!K165)*(annot_records!L165-annot_records!J165)/2,-1)</f>
        <v>256401</v>
      </c>
      <c r="H165">
        <f>IF(B165=2,annot_records!N165,-1)</f>
        <v>2</v>
      </c>
    </row>
    <row r="166" spans="1:8" x14ac:dyDescent="0.25">
      <c r="A166">
        <f>annot_records!A166</f>
        <v>65</v>
      </c>
      <c r="B166">
        <f>IF(annot_records!B166="峰标注",1,2)</f>
        <v>1</v>
      </c>
      <c r="C166">
        <f>IF(B166=1,annot_records!D166,annot_records!J166)</f>
        <v>355</v>
      </c>
      <c r="D166">
        <f>IF(B166=1,annot_records!H166,annot_records!L166)</f>
        <v>388</v>
      </c>
      <c r="E166">
        <f>IF(B166=1,annot_records!F166,-1)</f>
        <v>377</v>
      </c>
      <c r="F166">
        <f>IF(B166=1,annot_records!G166-(annot_records!E166+annot_records!I166)/2,-1)</f>
        <v>5389.5</v>
      </c>
      <c r="G166">
        <f>IF(B166=2,annot_records!O166-(annot_records!M166+annot_records!K166)*(annot_records!L166-annot_records!J166)/2,-1)</f>
        <v>-1</v>
      </c>
      <c r="H166">
        <f>IF(B166=2,annot_records!N166,-1)</f>
        <v>-1</v>
      </c>
    </row>
    <row r="167" spans="1:8" x14ac:dyDescent="0.25">
      <c r="A167">
        <f>annot_records!A167</f>
        <v>65</v>
      </c>
      <c r="B167">
        <f>IF(annot_records!B167="峰标注",1,2)</f>
        <v>1</v>
      </c>
      <c r="C167">
        <f>IF(B167=1,annot_records!D167,annot_records!J167)</f>
        <v>571</v>
      </c>
      <c r="D167">
        <f>IF(B167=1,annot_records!H167,annot_records!L167)</f>
        <v>613</v>
      </c>
      <c r="E167">
        <f>IF(B167=1,annot_records!F167,-1)</f>
        <v>599</v>
      </c>
      <c r="F167">
        <f>IF(B167=1,annot_records!G167-(annot_records!E167+annot_records!I167)/2,-1)</f>
        <v>12544.5</v>
      </c>
      <c r="G167">
        <f>IF(B167=2,annot_records!O167-(annot_records!M167+annot_records!K167)*(annot_records!L167-annot_records!J167)/2,-1)</f>
        <v>-1</v>
      </c>
      <c r="H167">
        <f>IF(B167=2,annot_records!N167,-1)</f>
        <v>-1</v>
      </c>
    </row>
    <row r="168" spans="1:8" x14ac:dyDescent="0.25">
      <c r="A168">
        <f>annot_records!A168</f>
        <v>66</v>
      </c>
      <c r="B168">
        <f>IF(annot_records!B168="峰标注",1,2)</f>
        <v>2</v>
      </c>
      <c r="C168">
        <f>IF(B168=1,annot_records!D168,annot_records!J168)</f>
        <v>265</v>
      </c>
      <c r="D168">
        <f>IF(B168=1,annot_records!H168,annot_records!L168)</f>
        <v>332</v>
      </c>
      <c r="E168">
        <f>IF(B168=1,annot_records!F168,-1)</f>
        <v>-1</v>
      </c>
      <c r="F168">
        <f>IF(B168=1,annot_records!G168-(annot_records!E168+annot_records!I168)/2,-1)</f>
        <v>-1</v>
      </c>
      <c r="G168">
        <f>IF(B168=2,annot_records!O168-(annot_records!M168+annot_records!K168)*(annot_records!L168-annot_records!J168)/2,-1)</f>
        <v>372079</v>
      </c>
      <c r="H168">
        <f>IF(B168=2,annot_records!N168,-1)</f>
        <v>3</v>
      </c>
    </row>
    <row r="169" spans="1:8" x14ac:dyDescent="0.25">
      <c r="A169">
        <f>annot_records!A169</f>
        <v>66</v>
      </c>
      <c r="B169">
        <f>IF(annot_records!B169="峰标注",1,2)</f>
        <v>1</v>
      </c>
      <c r="C169">
        <f>IF(B169=1,annot_records!D169,annot_records!J169)</f>
        <v>361</v>
      </c>
      <c r="D169">
        <f>IF(B169=1,annot_records!H169,annot_records!L169)</f>
        <v>394</v>
      </c>
      <c r="E169">
        <f>IF(B169=1,annot_records!F169,-1)</f>
        <v>383</v>
      </c>
      <c r="F169">
        <f>IF(B169=1,annot_records!G169-(annot_records!E169+annot_records!I169)/2,-1)</f>
        <v>7210.5</v>
      </c>
      <c r="G169">
        <f>IF(B169=2,annot_records!O169-(annot_records!M169+annot_records!K169)*(annot_records!L169-annot_records!J169)/2,-1)</f>
        <v>-1</v>
      </c>
      <c r="H169">
        <f>IF(B169=2,annot_records!N169,-1)</f>
        <v>-1</v>
      </c>
    </row>
    <row r="170" spans="1:8" x14ac:dyDescent="0.25">
      <c r="A170">
        <f>annot_records!A170</f>
        <v>66</v>
      </c>
      <c r="B170">
        <f>IF(annot_records!B170="峰标注",1,2)</f>
        <v>2</v>
      </c>
      <c r="C170">
        <f>IF(B170=1,annot_records!D170,annot_records!J170)</f>
        <v>463</v>
      </c>
      <c r="D170">
        <f>IF(B170=1,annot_records!H170,annot_records!L170)</f>
        <v>504</v>
      </c>
      <c r="E170">
        <f>IF(B170=1,annot_records!F170,-1)</f>
        <v>-1</v>
      </c>
      <c r="F170">
        <f>IF(B170=1,annot_records!G170-(annot_records!E170+annot_records!I170)/2,-1)</f>
        <v>-1</v>
      </c>
      <c r="G170">
        <f>IF(B170=2,annot_records!O170-(annot_records!M170+annot_records!K170)*(annot_records!L170-annot_records!J170)/2,-1)</f>
        <v>33541.5</v>
      </c>
      <c r="H170">
        <f>IF(B170=2,annot_records!N170,-1)</f>
        <v>2</v>
      </c>
    </row>
    <row r="171" spans="1:8" x14ac:dyDescent="0.25">
      <c r="A171">
        <f>annot_records!A171</f>
        <v>66</v>
      </c>
      <c r="B171">
        <f>IF(annot_records!B171="峰标注",1,2)</f>
        <v>1</v>
      </c>
      <c r="C171">
        <f>IF(B171=1,annot_records!D171,annot_records!J171)</f>
        <v>571</v>
      </c>
      <c r="D171">
        <f>IF(B171=1,annot_records!H171,annot_records!L171)</f>
        <v>610</v>
      </c>
      <c r="E171">
        <f>IF(B171=1,annot_records!F171,-1)</f>
        <v>598</v>
      </c>
      <c r="F171">
        <f>IF(B171=1,annot_records!G171-(annot_records!E171+annot_records!I171)/2,-1)</f>
        <v>13064.5</v>
      </c>
      <c r="G171">
        <f>IF(B171=2,annot_records!O171-(annot_records!M171+annot_records!K171)*(annot_records!L171-annot_records!J171)/2,-1)</f>
        <v>-1</v>
      </c>
      <c r="H171">
        <f>IF(B171=2,annot_records!N171,-1)</f>
        <v>-1</v>
      </c>
    </row>
    <row r="172" spans="1:8" x14ac:dyDescent="0.25">
      <c r="A172">
        <f>annot_records!A172</f>
        <v>67</v>
      </c>
      <c r="B172">
        <f>IF(annot_records!B172="峰标注",1,2)</f>
        <v>1</v>
      </c>
      <c r="C172">
        <f>IF(B172=1,annot_records!D172,annot_records!J172)</f>
        <v>564</v>
      </c>
      <c r="D172">
        <f>IF(B172=1,annot_records!H172,annot_records!L172)</f>
        <v>595</v>
      </c>
      <c r="E172">
        <f>IF(B172=1,annot_records!F172,-1)</f>
        <v>577</v>
      </c>
      <c r="F172">
        <f>IF(B172=1,annot_records!G172-(annot_records!E172+annot_records!I172)/2,-1)</f>
        <v>186.5</v>
      </c>
      <c r="G172">
        <f>IF(B172=2,annot_records!O172-(annot_records!M172+annot_records!K172)*(annot_records!L172-annot_records!J172)/2,-1)</f>
        <v>-1</v>
      </c>
      <c r="H172">
        <f>IF(B172=2,annot_records!N172,-1)</f>
        <v>-1</v>
      </c>
    </row>
    <row r="173" spans="1:8" x14ac:dyDescent="0.25">
      <c r="A173">
        <f>annot_records!A173</f>
        <v>68</v>
      </c>
      <c r="B173">
        <f>IF(annot_records!B173="峰标注",1,2)</f>
        <v>1</v>
      </c>
      <c r="C173">
        <f>IF(B173=1,annot_records!D173,annot_records!J173)</f>
        <v>227</v>
      </c>
      <c r="D173">
        <f>IF(B173=1,annot_records!H173,annot_records!L173)</f>
        <v>257</v>
      </c>
      <c r="E173">
        <f>IF(B173=1,annot_records!F173,-1)</f>
        <v>245</v>
      </c>
      <c r="F173">
        <f>IF(B173=1,annot_records!G173-(annot_records!E173+annot_records!I173)/2,-1)</f>
        <v>710</v>
      </c>
      <c r="G173">
        <f>IF(B173=2,annot_records!O173-(annot_records!M173+annot_records!K173)*(annot_records!L173-annot_records!J173)/2,-1)</f>
        <v>-1</v>
      </c>
      <c r="H173">
        <f>IF(B173=2,annot_records!N173,-1)</f>
        <v>-1</v>
      </c>
    </row>
    <row r="174" spans="1:8" x14ac:dyDescent="0.25">
      <c r="A174">
        <f>annot_records!A174</f>
        <v>68</v>
      </c>
      <c r="B174">
        <f>IF(annot_records!B174="峰标注",1,2)</f>
        <v>1</v>
      </c>
      <c r="C174">
        <f>IF(B174=1,annot_records!D174,annot_records!J174)</f>
        <v>303</v>
      </c>
      <c r="D174">
        <f>IF(B174=1,annot_records!H174,annot_records!L174)</f>
        <v>324</v>
      </c>
      <c r="E174">
        <f>IF(B174=1,annot_records!F174,-1)</f>
        <v>316</v>
      </c>
      <c r="F174">
        <f>IF(B174=1,annot_records!G174-(annot_records!E174+annot_records!I174)/2,-1)</f>
        <v>184</v>
      </c>
      <c r="G174">
        <f>IF(B174=2,annot_records!O174-(annot_records!M174+annot_records!K174)*(annot_records!L174-annot_records!J174)/2,-1)</f>
        <v>-1</v>
      </c>
      <c r="H174">
        <f>IF(B174=2,annot_records!N174,-1)</f>
        <v>-1</v>
      </c>
    </row>
    <row r="175" spans="1:8" x14ac:dyDescent="0.25">
      <c r="A175">
        <f>annot_records!A175</f>
        <v>68</v>
      </c>
      <c r="B175">
        <f>IF(annot_records!B175="峰标注",1,2)</f>
        <v>1</v>
      </c>
      <c r="C175">
        <f>IF(B175=1,annot_records!D175,annot_records!J175)</f>
        <v>562</v>
      </c>
      <c r="D175">
        <f>IF(B175=1,annot_records!H175,annot_records!L175)</f>
        <v>596</v>
      </c>
      <c r="E175">
        <f>IF(B175=1,annot_records!F175,-1)</f>
        <v>579</v>
      </c>
      <c r="F175">
        <f>IF(B175=1,annot_records!G175-(annot_records!E175+annot_records!I175)/2,-1)</f>
        <v>362.5</v>
      </c>
      <c r="G175">
        <f>IF(B175=2,annot_records!O175-(annot_records!M175+annot_records!K175)*(annot_records!L175-annot_records!J175)/2,-1)</f>
        <v>-1</v>
      </c>
      <c r="H175">
        <f>IF(B175=2,annot_records!N175,-1)</f>
        <v>-1</v>
      </c>
    </row>
    <row r="176" spans="1:8" x14ac:dyDescent="0.25">
      <c r="A176">
        <f>annot_records!A176</f>
        <v>69</v>
      </c>
      <c r="B176">
        <f>IF(annot_records!B176="峰标注",1,2)</f>
        <v>1</v>
      </c>
      <c r="C176">
        <f>IF(B176=1,annot_records!D176,annot_records!J176)</f>
        <v>227</v>
      </c>
      <c r="D176">
        <f>IF(B176=1,annot_records!H176,annot_records!L176)</f>
        <v>255</v>
      </c>
      <c r="E176">
        <f>IF(B176=1,annot_records!F176,-1)</f>
        <v>243</v>
      </c>
      <c r="F176">
        <f>IF(B176=1,annot_records!G176-(annot_records!E176+annot_records!I176)/2,-1)</f>
        <v>1829.5</v>
      </c>
      <c r="G176">
        <f>IF(B176=2,annot_records!O176-(annot_records!M176+annot_records!K176)*(annot_records!L176-annot_records!J176)/2,-1)</f>
        <v>-1</v>
      </c>
      <c r="H176">
        <f>IF(B176=2,annot_records!N176,-1)</f>
        <v>-1</v>
      </c>
    </row>
    <row r="177" spans="1:8" x14ac:dyDescent="0.25">
      <c r="A177">
        <f>annot_records!A177</f>
        <v>69</v>
      </c>
      <c r="B177">
        <f>IF(annot_records!B177="峰标注",1,2)</f>
        <v>1</v>
      </c>
      <c r="C177">
        <f>IF(B177=1,annot_records!D177,annot_records!J177)</f>
        <v>302</v>
      </c>
      <c r="D177">
        <f>IF(B177=1,annot_records!H177,annot_records!L177)</f>
        <v>323</v>
      </c>
      <c r="E177">
        <f>IF(B177=1,annot_records!F177,-1)</f>
        <v>316</v>
      </c>
      <c r="F177">
        <f>IF(B177=1,annot_records!G177-(annot_records!E177+annot_records!I177)/2,-1)</f>
        <v>632.5</v>
      </c>
      <c r="G177">
        <f>IF(B177=2,annot_records!O177-(annot_records!M177+annot_records!K177)*(annot_records!L177-annot_records!J177)/2,-1)</f>
        <v>-1</v>
      </c>
      <c r="H177">
        <f>IF(B177=2,annot_records!N177,-1)</f>
        <v>-1</v>
      </c>
    </row>
    <row r="178" spans="1:8" x14ac:dyDescent="0.25">
      <c r="A178">
        <f>annot_records!A178</f>
        <v>69</v>
      </c>
      <c r="B178">
        <f>IF(annot_records!B178="峰标注",1,2)</f>
        <v>2</v>
      </c>
      <c r="C178">
        <f>IF(B178=1,annot_records!D178,annot_records!J178)</f>
        <v>562</v>
      </c>
      <c r="D178">
        <f>IF(B178=1,annot_records!H178,annot_records!L178)</f>
        <v>597</v>
      </c>
      <c r="E178">
        <f>IF(B178=1,annot_records!F178,-1)</f>
        <v>-1</v>
      </c>
      <c r="F178">
        <f>IF(B178=1,annot_records!G178-(annot_records!E178+annot_records!I178)/2,-1)</f>
        <v>-1</v>
      </c>
      <c r="G178">
        <f>IF(B178=2,annot_records!O178-(annot_records!M178+annot_records!K178)*(annot_records!L178-annot_records!J178)/2,-1)</f>
        <v>24789.5</v>
      </c>
      <c r="H178">
        <f>IF(B178=2,annot_records!N178,-1)</f>
        <v>2</v>
      </c>
    </row>
    <row r="179" spans="1:8" x14ac:dyDescent="0.25">
      <c r="A179">
        <f>annot_records!A179</f>
        <v>70</v>
      </c>
      <c r="B179">
        <f>IF(annot_records!B179="峰标注",1,2)</f>
        <v>1</v>
      </c>
      <c r="C179">
        <f>IF(B179=1,annot_records!D179,annot_records!J179)</f>
        <v>224</v>
      </c>
      <c r="D179">
        <f>IF(B179=1,annot_records!H179,annot_records!L179)</f>
        <v>256</v>
      </c>
      <c r="E179">
        <f>IF(B179=1,annot_records!F179,-1)</f>
        <v>244</v>
      </c>
      <c r="F179">
        <f>IF(B179=1,annot_records!G179-(annot_records!E179+annot_records!I179)/2,-1)</f>
        <v>4268.5</v>
      </c>
      <c r="G179">
        <f>IF(B179=2,annot_records!O179-(annot_records!M179+annot_records!K179)*(annot_records!L179-annot_records!J179)/2,-1)</f>
        <v>-1</v>
      </c>
      <c r="H179">
        <f>IF(B179=2,annot_records!N179,-1)</f>
        <v>-1</v>
      </c>
    </row>
    <row r="180" spans="1:8" x14ac:dyDescent="0.25">
      <c r="A180">
        <f>annot_records!A180</f>
        <v>70</v>
      </c>
      <c r="B180">
        <f>IF(annot_records!B180="峰标注",1,2)</f>
        <v>1</v>
      </c>
      <c r="C180">
        <f>IF(B180=1,annot_records!D180,annot_records!J180)</f>
        <v>298</v>
      </c>
      <c r="D180">
        <f>IF(B180=1,annot_records!H180,annot_records!L180)</f>
        <v>325</v>
      </c>
      <c r="E180">
        <f>IF(B180=1,annot_records!F180,-1)</f>
        <v>317</v>
      </c>
      <c r="F180">
        <f>IF(B180=1,annot_records!G180-(annot_records!E180+annot_records!I180)/2,-1)</f>
        <v>1387.5</v>
      </c>
      <c r="G180">
        <f>IF(B180=2,annot_records!O180-(annot_records!M180+annot_records!K180)*(annot_records!L180-annot_records!J180)/2,-1)</f>
        <v>-1</v>
      </c>
      <c r="H180">
        <f>IF(B180=2,annot_records!N180,-1)</f>
        <v>-1</v>
      </c>
    </row>
    <row r="181" spans="1:8" x14ac:dyDescent="0.25">
      <c r="A181">
        <f>annot_records!A181</f>
        <v>70</v>
      </c>
      <c r="B181">
        <f>IF(annot_records!B181="峰标注",1,2)</f>
        <v>1</v>
      </c>
      <c r="C181">
        <f>IF(B181=1,annot_records!D181,annot_records!J181)</f>
        <v>561</v>
      </c>
      <c r="D181">
        <f>IF(B181=1,annot_records!H181,annot_records!L181)</f>
        <v>594</v>
      </c>
      <c r="E181">
        <f>IF(B181=1,annot_records!F181,-1)</f>
        <v>576</v>
      </c>
      <c r="F181">
        <f>IF(B181=1,annot_records!G181-(annot_records!E181+annot_records!I181)/2,-1)</f>
        <v>3355.5</v>
      </c>
      <c r="G181">
        <f>IF(B181=2,annot_records!O181-(annot_records!M181+annot_records!K181)*(annot_records!L181-annot_records!J181)/2,-1)</f>
        <v>-1</v>
      </c>
      <c r="H181">
        <f>IF(B181=2,annot_records!N181,-1)</f>
        <v>-1</v>
      </c>
    </row>
    <row r="182" spans="1:8" x14ac:dyDescent="0.25">
      <c r="A182">
        <f>annot_records!A182</f>
        <v>71</v>
      </c>
      <c r="B182">
        <f>IF(annot_records!B182="峰标注",1,2)</f>
        <v>1</v>
      </c>
      <c r="C182">
        <f>IF(B182=1,annot_records!D182,annot_records!J182)</f>
        <v>224</v>
      </c>
      <c r="D182">
        <f>IF(B182=1,annot_records!H182,annot_records!L182)</f>
        <v>259</v>
      </c>
      <c r="E182">
        <f>IF(B182=1,annot_records!F182,-1)</f>
        <v>244</v>
      </c>
      <c r="F182">
        <f>IF(B182=1,annot_records!G182-(annot_records!E182+annot_records!I182)/2,-1)</f>
        <v>8807.5</v>
      </c>
      <c r="G182">
        <f>IF(B182=2,annot_records!O182-(annot_records!M182+annot_records!K182)*(annot_records!L182-annot_records!J182)/2,-1)</f>
        <v>-1</v>
      </c>
      <c r="H182">
        <f>IF(B182=2,annot_records!N182,-1)</f>
        <v>-1</v>
      </c>
    </row>
    <row r="183" spans="1:8" x14ac:dyDescent="0.25">
      <c r="A183">
        <f>annot_records!A183</f>
        <v>71</v>
      </c>
      <c r="B183">
        <f>IF(annot_records!B183="峰标注",1,2)</f>
        <v>1</v>
      </c>
      <c r="C183">
        <f>IF(B183=1,annot_records!D183,annot_records!J183)</f>
        <v>300</v>
      </c>
      <c r="D183">
        <f>IF(B183=1,annot_records!H183,annot_records!L183)</f>
        <v>331</v>
      </c>
      <c r="E183">
        <f>IF(B183=1,annot_records!F183,-1)</f>
        <v>320</v>
      </c>
      <c r="F183">
        <f>IF(B183=1,annot_records!G183-(annot_records!E183+annot_records!I183)/2,-1)</f>
        <v>2700.5</v>
      </c>
      <c r="G183">
        <f>IF(B183=2,annot_records!O183-(annot_records!M183+annot_records!K183)*(annot_records!L183-annot_records!J183)/2,-1)</f>
        <v>-1</v>
      </c>
      <c r="H183">
        <f>IF(B183=2,annot_records!N183,-1)</f>
        <v>-1</v>
      </c>
    </row>
    <row r="184" spans="1:8" x14ac:dyDescent="0.25">
      <c r="A184">
        <f>annot_records!A184</f>
        <v>71</v>
      </c>
      <c r="B184">
        <f>IF(annot_records!B184="峰标注",1,2)</f>
        <v>1</v>
      </c>
      <c r="C184">
        <f>IF(B184=1,annot_records!D184,annot_records!J184)</f>
        <v>552</v>
      </c>
      <c r="D184">
        <f>IF(B184=1,annot_records!H184,annot_records!L184)</f>
        <v>596</v>
      </c>
      <c r="E184">
        <f>IF(B184=1,annot_records!F184,-1)</f>
        <v>576</v>
      </c>
      <c r="F184">
        <f>IF(B184=1,annot_records!G184-(annot_records!E184+annot_records!I184)/2,-1)</f>
        <v>6966</v>
      </c>
      <c r="G184">
        <f>IF(B184=2,annot_records!O184-(annot_records!M184+annot_records!K184)*(annot_records!L184-annot_records!J184)/2,-1)</f>
        <v>-1</v>
      </c>
      <c r="H184">
        <f>IF(B184=2,annot_records!N184,-1)</f>
        <v>-1</v>
      </c>
    </row>
    <row r="185" spans="1:8" x14ac:dyDescent="0.25">
      <c r="A185">
        <f>annot_records!A185</f>
        <v>72</v>
      </c>
      <c r="B185">
        <f>IF(annot_records!B185="峰标注",1,2)</f>
        <v>1</v>
      </c>
      <c r="C185">
        <f>IF(B185=1,annot_records!D185,annot_records!J185)</f>
        <v>226</v>
      </c>
      <c r="D185">
        <f>IF(B185=1,annot_records!H185,annot_records!L185)</f>
        <v>261</v>
      </c>
      <c r="E185">
        <f>IF(B185=1,annot_records!F185,-1)</f>
        <v>245</v>
      </c>
      <c r="F185">
        <f>IF(B185=1,annot_records!G185-(annot_records!E185+annot_records!I185)/2,-1)</f>
        <v>15399</v>
      </c>
      <c r="G185">
        <f>IF(B185=2,annot_records!O185-(annot_records!M185+annot_records!K185)*(annot_records!L185-annot_records!J185)/2,-1)</f>
        <v>-1</v>
      </c>
      <c r="H185">
        <f>IF(B185=2,annot_records!N185,-1)</f>
        <v>-1</v>
      </c>
    </row>
    <row r="186" spans="1:8" x14ac:dyDescent="0.25">
      <c r="A186">
        <f>annot_records!A186</f>
        <v>72</v>
      </c>
      <c r="B186">
        <f>IF(annot_records!B186="峰标注",1,2)</f>
        <v>1</v>
      </c>
      <c r="C186">
        <f>IF(B186=1,annot_records!D186,annot_records!J186)</f>
        <v>298</v>
      </c>
      <c r="D186">
        <f>IF(B186=1,annot_records!H186,annot_records!L186)</f>
        <v>335</v>
      </c>
      <c r="E186">
        <f>IF(B186=1,annot_records!F186,-1)</f>
        <v>325</v>
      </c>
      <c r="F186">
        <f>IF(B186=1,annot_records!G186-(annot_records!E186+annot_records!I186)/2,-1)</f>
        <v>4641.5</v>
      </c>
      <c r="G186">
        <f>IF(B186=2,annot_records!O186-(annot_records!M186+annot_records!K186)*(annot_records!L186-annot_records!J186)/2,-1)</f>
        <v>-1</v>
      </c>
      <c r="H186">
        <f>IF(B186=2,annot_records!N186,-1)</f>
        <v>-1</v>
      </c>
    </row>
    <row r="187" spans="1:8" x14ac:dyDescent="0.25">
      <c r="A187">
        <f>annot_records!A187</f>
        <v>72</v>
      </c>
      <c r="B187">
        <f>IF(annot_records!B187="峰标注",1,2)</f>
        <v>1</v>
      </c>
      <c r="C187">
        <f>IF(B187=1,annot_records!D187,annot_records!J187)</f>
        <v>552</v>
      </c>
      <c r="D187">
        <f>IF(B187=1,annot_records!H187,annot_records!L187)</f>
        <v>597</v>
      </c>
      <c r="E187">
        <f>IF(B187=1,annot_records!F187,-1)</f>
        <v>577</v>
      </c>
      <c r="F187">
        <f>IF(B187=1,annot_records!G187-(annot_records!E187+annot_records!I187)/2,-1)</f>
        <v>12274</v>
      </c>
      <c r="G187">
        <f>IF(B187=2,annot_records!O187-(annot_records!M187+annot_records!K187)*(annot_records!L187-annot_records!J187)/2,-1)</f>
        <v>-1</v>
      </c>
      <c r="H187">
        <f>IF(B187=2,annot_records!N187,-1)</f>
        <v>-1</v>
      </c>
    </row>
    <row r="188" spans="1:8" x14ac:dyDescent="0.25">
      <c r="A188">
        <f>annot_records!A188</f>
        <v>73</v>
      </c>
      <c r="B188">
        <f>IF(annot_records!B188="峰标注",1,2)</f>
        <v>1</v>
      </c>
      <c r="C188">
        <f>IF(B188=1,annot_records!D188,annot_records!J188)</f>
        <v>225</v>
      </c>
      <c r="D188">
        <f>IF(B188=1,annot_records!H188,annot_records!L188)</f>
        <v>266</v>
      </c>
      <c r="E188">
        <f>IF(B188=1,annot_records!F188,-1)</f>
        <v>247</v>
      </c>
      <c r="F188">
        <f>IF(B188=1,annot_records!G188-(annot_records!E188+annot_records!I188)/2,-1)</f>
        <v>16106.5</v>
      </c>
      <c r="G188">
        <f>IF(B188=2,annot_records!O188-(annot_records!M188+annot_records!K188)*(annot_records!L188-annot_records!J188)/2,-1)</f>
        <v>-1</v>
      </c>
      <c r="H188">
        <f>IF(B188=2,annot_records!N188,-1)</f>
        <v>-1</v>
      </c>
    </row>
    <row r="189" spans="1:8" x14ac:dyDescent="0.25">
      <c r="A189">
        <f>annot_records!A189</f>
        <v>73</v>
      </c>
      <c r="B189">
        <f>IF(annot_records!B189="峰标注",1,2)</f>
        <v>1</v>
      </c>
      <c r="C189">
        <f>IF(B189=1,annot_records!D189,annot_records!J189)</f>
        <v>300</v>
      </c>
      <c r="D189">
        <f>IF(B189=1,annot_records!H189,annot_records!L189)</f>
        <v>341</v>
      </c>
      <c r="E189">
        <f>IF(B189=1,annot_records!F189,-1)</f>
        <v>327</v>
      </c>
      <c r="F189">
        <f>IF(B189=1,annot_records!G189-(annot_records!E189+annot_records!I189)/2,-1)</f>
        <v>5384</v>
      </c>
      <c r="G189">
        <f>IF(B189=2,annot_records!O189-(annot_records!M189+annot_records!K189)*(annot_records!L189-annot_records!J189)/2,-1)</f>
        <v>-1</v>
      </c>
      <c r="H189">
        <f>IF(B189=2,annot_records!N189,-1)</f>
        <v>-1</v>
      </c>
    </row>
    <row r="190" spans="1:8" x14ac:dyDescent="0.25">
      <c r="A190">
        <f>annot_records!A190</f>
        <v>73</v>
      </c>
      <c r="B190">
        <f>IF(annot_records!B190="峰标注",1,2)</f>
        <v>2</v>
      </c>
      <c r="C190">
        <f>IF(B190=1,annot_records!D190,annot_records!J190)</f>
        <v>422</v>
      </c>
      <c r="D190">
        <f>IF(B190=1,annot_records!H190,annot_records!L190)</f>
        <v>473</v>
      </c>
      <c r="E190">
        <f>IF(B190=1,annot_records!F190,-1)</f>
        <v>-1</v>
      </c>
      <c r="F190">
        <f>IF(B190=1,annot_records!G190-(annot_records!E190+annot_records!I190)/2,-1)</f>
        <v>-1</v>
      </c>
      <c r="G190">
        <f>IF(B190=2,annot_records!O190-(annot_records!M190+annot_records!K190)*(annot_records!L190-annot_records!J190)/2,-1)</f>
        <v>33508.5</v>
      </c>
      <c r="H190">
        <f>IF(B190=2,annot_records!N190,-1)</f>
        <v>2</v>
      </c>
    </row>
    <row r="191" spans="1:8" x14ac:dyDescent="0.25">
      <c r="A191">
        <f>annot_records!A191</f>
        <v>73</v>
      </c>
      <c r="B191">
        <f>IF(annot_records!B191="峰标注",1,2)</f>
        <v>1</v>
      </c>
      <c r="C191">
        <f>IF(B191=1,annot_records!D191,annot_records!J191)</f>
        <v>551</v>
      </c>
      <c r="D191">
        <f>IF(B191=1,annot_records!H191,annot_records!L191)</f>
        <v>597</v>
      </c>
      <c r="E191">
        <f>IF(B191=1,annot_records!F191,-1)</f>
        <v>580</v>
      </c>
      <c r="F191">
        <f>IF(B191=1,annot_records!G191-(annot_records!E191+annot_records!I191)/2,-1)</f>
        <v>12875.5</v>
      </c>
      <c r="G191">
        <f>IF(B191=2,annot_records!O191-(annot_records!M191+annot_records!K191)*(annot_records!L191-annot_records!J191)/2,-1)</f>
        <v>-1</v>
      </c>
      <c r="H191">
        <f>IF(B191=2,annot_records!N191,-1)</f>
        <v>-1</v>
      </c>
    </row>
    <row r="192" spans="1:8" x14ac:dyDescent="0.25">
      <c r="A192">
        <f>annot_records!A192</f>
        <v>74</v>
      </c>
      <c r="B192">
        <f>IF(annot_records!B192="峰标注",1,2)</f>
        <v>2</v>
      </c>
      <c r="C192">
        <f>IF(B192=1,annot_records!D192,annot_records!J192)</f>
        <v>306</v>
      </c>
      <c r="D192">
        <f>IF(B192=1,annot_records!H192,annot_records!L192)</f>
        <v>337</v>
      </c>
      <c r="E192">
        <f>IF(B192=1,annot_records!F192,-1)</f>
        <v>-1</v>
      </c>
      <c r="F192">
        <f>IF(B192=1,annot_records!G192-(annot_records!E192+annot_records!I192)/2,-1)</f>
        <v>-1</v>
      </c>
      <c r="G192">
        <f>IF(B192=2,annot_records!O192-(annot_records!M192+annot_records!K192)*(annot_records!L192-annot_records!J192)/2,-1)</f>
        <v>11083</v>
      </c>
      <c r="H192">
        <f>IF(B192=2,annot_records!N192,-1)</f>
        <v>2</v>
      </c>
    </row>
    <row r="193" spans="1:8" x14ac:dyDescent="0.25">
      <c r="A193">
        <f>annot_records!A193</f>
        <v>74</v>
      </c>
      <c r="B193">
        <f>IF(annot_records!B193="峰标注",1,2)</f>
        <v>1</v>
      </c>
      <c r="C193">
        <f>IF(B193=1,annot_records!D193,annot_records!J193)</f>
        <v>374</v>
      </c>
      <c r="D193">
        <f>IF(B193=1,annot_records!H193,annot_records!L193)</f>
        <v>393</v>
      </c>
      <c r="E193">
        <f>IF(B193=1,annot_records!F193,-1)</f>
        <v>382</v>
      </c>
      <c r="F193">
        <f>IF(B193=1,annot_records!G193-(annot_records!E193+annot_records!I193)/2,-1)</f>
        <v>161</v>
      </c>
      <c r="G193">
        <f>IF(B193=2,annot_records!O193-(annot_records!M193+annot_records!K193)*(annot_records!L193-annot_records!J193)/2,-1)</f>
        <v>-1</v>
      </c>
      <c r="H193">
        <f>IF(B193=2,annot_records!N193,-1)</f>
        <v>-1</v>
      </c>
    </row>
    <row r="194" spans="1:8" x14ac:dyDescent="0.25">
      <c r="A194">
        <f>annot_records!A194</f>
        <v>74</v>
      </c>
      <c r="B194">
        <f>IF(annot_records!B194="峰标注",1,2)</f>
        <v>1</v>
      </c>
      <c r="C194">
        <f>IF(B194=1,annot_records!D194,annot_records!J194)</f>
        <v>576</v>
      </c>
      <c r="D194">
        <f>IF(B194=1,annot_records!H194,annot_records!L194)</f>
        <v>595</v>
      </c>
      <c r="E194">
        <f>IF(B194=1,annot_records!F194,-1)</f>
        <v>585</v>
      </c>
      <c r="F194">
        <f>IF(B194=1,annot_records!G194-(annot_records!E194+annot_records!I194)/2,-1)</f>
        <v>270</v>
      </c>
      <c r="G194">
        <f>IF(B194=2,annot_records!O194-(annot_records!M194+annot_records!K194)*(annot_records!L194-annot_records!J194)/2,-1)</f>
        <v>-1</v>
      </c>
      <c r="H194">
        <f>IF(B194=2,annot_records!N194,-1)</f>
        <v>-1</v>
      </c>
    </row>
    <row r="195" spans="1:8" x14ac:dyDescent="0.25">
      <c r="A195">
        <f>annot_records!A195</f>
        <v>75</v>
      </c>
      <c r="B195">
        <f>IF(annot_records!B195="峰标注",1,2)</f>
        <v>2</v>
      </c>
      <c r="C195">
        <f>IF(B195=1,annot_records!D195,annot_records!J195)</f>
        <v>301</v>
      </c>
      <c r="D195">
        <f>IF(B195=1,annot_records!H195,annot_records!L195)</f>
        <v>336</v>
      </c>
      <c r="E195">
        <f>IF(B195=1,annot_records!F195,-1)</f>
        <v>-1</v>
      </c>
      <c r="F195">
        <f>IF(B195=1,annot_records!G195-(annot_records!E195+annot_records!I195)/2,-1)</f>
        <v>-1</v>
      </c>
      <c r="G195">
        <f>IF(B195=2,annot_records!O195-(annot_records!M195+annot_records!K195)*(annot_records!L195-annot_records!J195)/2,-1)</f>
        <v>18718</v>
      </c>
      <c r="H195">
        <f>IF(B195=2,annot_records!N195,-1)</f>
        <v>2</v>
      </c>
    </row>
    <row r="196" spans="1:8" x14ac:dyDescent="0.25">
      <c r="A196">
        <f>annot_records!A196</f>
        <v>75</v>
      </c>
      <c r="B196">
        <f>IF(annot_records!B196="峰标注",1,2)</f>
        <v>1</v>
      </c>
      <c r="C196">
        <f>IF(B196=1,annot_records!D196,annot_records!J196)</f>
        <v>371</v>
      </c>
      <c r="D196">
        <f>IF(B196=1,annot_records!H196,annot_records!L196)</f>
        <v>389</v>
      </c>
      <c r="E196">
        <f>IF(B196=1,annot_records!F196,-1)</f>
        <v>381</v>
      </c>
      <c r="F196">
        <f>IF(B196=1,annot_records!G196-(annot_records!E196+annot_records!I196)/2,-1)</f>
        <v>364.5</v>
      </c>
      <c r="G196">
        <f>IF(B196=2,annot_records!O196-(annot_records!M196+annot_records!K196)*(annot_records!L196-annot_records!J196)/2,-1)</f>
        <v>-1</v>
      </c>
      <c r="H196">
        <f>IF(B196=2,annot_records!N196,-1)</f>
        <v>-1</v>
      </c>
    </row>
    <row r="197" spans="1:8" x14ac:dyDescent="0.25">
      <c r="A197">
        <f>annot_records!A197</f>
        <v>75</v>
      </c>
      <c r="B197">
        <f>IF(annot_records!B197="峰标注",1,2)</f>
        <v>1</v>
      </c>
      <c r="C197">
        <f>IF(B197=1,annot_records!D197,annot_records!J197)</f>
        <v>570</v>
      </c>
      <c r="D197">
        <f>IF(B197=1,annot_records!H197,annot_records!L197)</f>
        <v>594</v>
      </c>
      <c r="E197">
        <f>IF(B197=1,annot_records!F197,-1)</f>
        <v>583</v>
      </c>
      <c r="F197">
        <f>IF(B197=1,annot_records!G197-(annot_records!E197+annot_records!I197)/2,-1)</f>
        <v>786.5</v>
      </c>
      <c r="G197">
        <f>IF(B197=2,annot_records!O197-(annot_records!M197+annot_records!K197)*(annot_records!L197-annot_records!J197)/2,-1)</f>
        <v>-1</v>
      </c>
      <c r="H197">
        <f>IF(B197=2,annot_records!N197,-1)</f>
        <v>-1</v>
      </c>
    </row>
    <row r="198" spans="1:8" x14ac:dyDescent="0.25">
      <c r="A198">
        <f>annot_records!A198</f>
        <v>76</v>
      </c>
      <c r="B198">
        <f>IF(annot_records!B198="峰标注",1,2)</f>
        <v>2</v>
      </c>
      <c r="C198">
        <f>IF(B198=1,annot_records!D198,annot_records!J198)</f>
        <v>297</v>
      </c>
      <c r="D198">
        <f>IF(B198=1,annot_records!H198,annot_records!L198)</f>
        <v>336</v>
      </c>
      <c r="E198">
        <f>IF(B198=1,annot_records!F198,-1)</f>
        <v>-1</v>
      </c>
      <c r="F198">
        <f>IF(B198=1,annot_records!G198-(annot_records!E198+annot_records!I198)/2,-1)</f>
        <v>-1</v>
      </c>
      <c r="G198">
        <f>IF(B198=2,annot_records!O198-(annot_records!M198+annot_records!K198)*(annot_records!L198-annot_records!J198)/2,-1)</f>
        <v>38793.5</v>
      </c>
      <c r="H198">
        <f>IF(B198=2,annot_records!N198,-1)</f>
        <v>2</v>
      </c>
    </row>
    <row r="199" spans="1:8" x14ac:dyDescent="0.25">
      <c r="A199">
        <f>annot_records!A199</f>
        <v>76</v>
      </c>
      <c r="B199">
        <f>IF(annot_records!B199="峰标注",1,2)</f>
        <v>1</v>
      </c>
      <c r="C199">
        <f>IF(B199=1,annot_records!D199,annot_records!J199)</f>
        <v>369</v>
      </c>
      <c r="D199">
        <f>IF(B199=1,annot_records!H199,annot_records!L199)</f>
        <v>390</v>
      </c>
      <c r="E199">
        <f>IF(B199=1,annot_records!F199,-1)</f>
        <v>380</v>
      </c>
      <c r="F199">
        <f>IF(B199=1,annot_records!G199-(annot_records!E199+annot_records!I199)/2,-1)</f>
        <v>999</v>
      </c>
      <c r="G199">
        <f>IF(B199=2,annot_records!O199-(annot_records!M199+annot_records!K199)*(annot_records!L199-annot_records!J199)/2,-1)</f>
        <v>-1</v>
      </c>
      <c r="H199">
        <f>IF(B199=2,annot_records!N199,-1)</f>
        <v>-1</v>
      </c>
    </row>
    <row r="200" spans="1:8" x14ac:dyDescent="0.25">
      <c r="A200">
        <f>annot_records!A200</f>
        <v>76</v>
      </c>
      <c r="B200">
        <f>IF(annot_records!B200="峰标注",1,2)</f>
        <v>1</v>
      </c>
      <c r="C200">
        <f>IF(B200=1,annot_records!D200,annot_records!J200)</f>
        <v>569</v>
      </c>
      <c r="D200">
        <f>IF(B200=1,annot_records!H200,annot_records!L200)</f>
        <v>597</v>
      </c>
      <c r="E200">
        <f>IF(B200=1,annot_records!F200,-1)</f>
        <v>584</v>
      </c>
      <c r="F200">
        <f>IF(B200=1,annot_records!G200-(annot_records!E200+annot_records!I200)/2,-1)</f>
        <v>2360</v>
      </c>
      <c r="G200">
        <f>IF(B200=2,annot_records!O200-(annot_records!M200+annot_records!K200)*(annot_records!L200-annot_records!J200)/2,-1)</f>
        <v>-1</v>
      </c>
      <c r="H200">
        <f>IF(B200=2,annot_records!N200,-1)</f>
        <v>-1</v>
      </c>
    </row>
    <row r="201" spans="1:8" x14ac:dyDescent="0.25">
      <c r="A201">
        <f>annot_records!A201</f>
        <v>77</v>
      </c>
      <c r="B201">
        <f>IF(annot_records!B201="峰标注",1,2)</f>
        <v>2</v>
      </c>
      <c r="C201">
        <f>IF(B201=1,annot_records!D201,annot_records!J201)</f>
        <v>300</v>
      </c>
      <c r="D201">
        <f>IF(B201=1,annot_records!H201,annot_records!L201)</f>
        <v>335</v>
      </c>
      <c r="E201">
        <f>IF(B201=1,annot_records!F201,-1)</f>
        <v>-1</v>
      </c>
      <c r="F201">
        <f>IF(B201=1,annot_records!G201-(annot_records!E201+annot_records!I201)/2,-1)</f>
        <v>-1</v>
      </c>
      <c r="G201">
        <f>IF(B201=2,annot_records!O201-(annot_records!M201+annot_records!K201)*(annot_records!L201-annot_records!J201)/2,-1)</f>
        <v>75603.5</v>
      </c>
      <c r="H201">
        <f>IF(B201=2,annot_records!N201,-1)</f>
        <v>2</v>
      </c>
    </row>
    <row r="202" spans="1:8" x14ac:dyDescent="0.25">
      <c r="A202">
        <f>annot_records!A202</f>
        <v>77</v>
      </c>
      <c r="B202">
        <f>IF(annot_records!B202="峰标注",1,2)</f>
        <v>1</v>
      </c>
      <c r="C202">
        <f>IF(B202=1,annot_records!D202,annot_records!J202)</f>
        <v>370</v>
      </c>
      <c r="D202">
        <f>IF(B202=1,annot_records!H202,annot_records!L202)</f>
        <v>391</v>
      </c>
      <c r="E202">
        <f>IF(B202=1,annot_records!F202,-1)</f>
        <v>384</v>
      </c>
      <c r="F202">
        <f>IF(B202=1,annot_records!G202-(annot_records!E202+annot_records!I202)/2,-1)</f>
        <v>1890.5</v>
      </c>
      <c r="G202">
        <f>IF(B202=2,annot_records!O202-(annot_records!M202+annot_records!K202)*(annot_records!L202-annot_records!J202)/2,-1)</f>
        <v>-1</v>
      </c>
      <c r="H202">
        <f>IF(B202=2,annot_records!N202,-1)</f>
        <v>-1</v>
      </c>
    </row>
    <row r="203" spans="1:8" x14ac:dyDescent="0.25">
      <c r="A203">
        <f>annot_records!A203</f>
        <v>77</v>
      </c>
      <c r="B203">
        <f>IF(annot_records!B203="峰标注",1,2)</f>
        <v>1</v>
      </c>
      <c r="C203">
        <f>IF(B203=1,annot_records!D203,annot_records!J203)</f>
        <v>570</v>
      </c>
      <c r="D203">
        <f>IF(B203=1,annot_records!H203,annot_records!L203)</f>
        <v>597</v>
      </c>
      <c r="E203">
        <f>IF(B203=1,annot_records!F203,-1)</f>
        <v>587</v>
      </c>
      <c r="F203">
        <f>IF(B203=1,annot_records!G203-(annot_records!E203+annot_records!I203)/2,-1)</f>
        <v>4730.5</v>
      </c>
      <c r="G203">
        <f>IF(B203=2,annot_records!O203-(annot_records!M203+annot_records!K203)*(annot_records!L203-annot_records!J203)/2,-1)</f>
        <v>-1</v>
      </c>
      <c r="H203">
        <f>IF(B203=2,annot_records!N203,-1)</f>
        <v>-1</v>
      </c>
    </row>
    <row r="204" spans="1:8" x14ac:dyDescent="0.25">
      <c r="A204">
        <f>annot_records!A204</f>
        <v>78</v>
      </c>
      <c r="B204">
        <f>IF(annot_records!B204="峰标注",1,2)</f>
        <v>2</v>
      </c>
      <c r="C204">
        <f>IF(B204=1,annot_records!D204,annot_records!J204)</f>
        <v>298</v>
      </c>
      <c r="D204">
        <f>IF(B204=1,annot_records!H204,annot_records!L204)</f>
        <v>346</v>
      </c>
      <c r="E204">
        <f>IF(B204=1,annot_records!F204,-1)</f>
        <v>-1</v>
      </c>
      <c r="F204">
        <f>IF(B204=1,annot_records!G204-(annot_records!E204+annot_records!I204)/2,-1)</f>
        <v>-1</v>
      </c>
      <c r="G204">
        <f>IF(B204=2,annot_records!O204-(annot_records!M204+annot_records!K204)*(annot_records!L204-annot_records!J204)/2,-1)</f>
        <v>157749</v>
      </c>
      <c r="H204">
        <f>IF(B204=2,annot_records!N204,-1)</f>
        <v>3</v>
      </c>
    </row>
    <row r="205" spans="1:8" x14ac:dyDescent="0.25">
      <c r="A205">
        <f>annot_records!A205</f>
        <v>78</v>
      </c>
      <c r="B205">
        <f>IF(annot_records!B205="峰标注",1,2)</f>
        <v>1</v>
      </c>
      <c r="C205">
        <f>IF(B205=1,annot_records!D205,annot_records!J205)</f>
        <v>370</v>
      </c>
      <c r="D205">
        <f>IF(B205=1,annot_records!H205,annot_records!L205)</f>
        <v>394</v>
      </c>
      <c r="E205">
        <f>IF(B205=1,annot_records!F205,-1)</f>
        <v>385</v>
      </c>
      <c r="F205">
        <f>IF(B205=1,annot_records!G205-(annot_records!E205+annot_records!I205)/2,-1)</f>
        <v>3378</v>
      </c>
      <c r="G205">
        <f>IF(B205=2,annot_records!O205-(annot_records!M205+annot_records!K205)*(annot_records!L205-annot_records!J205)/2,-1)</f>
        <v>-1</v>
      </c>
      <c r="H205">
        <f>IF(B205=2,annot_records!N205,-1)</f>
        <v>-1</v>
      </c>
    </row>
    <row r="206" spans="1:8" x14ac:dyDescent="0.25">
      <c r="A206">
        <f>annot_records!A206</f>
        <v>78</v>
      </c>
      <c r="B206">
        <f>IF(annot_records!B206="峰标注",1,2)</f>
        <v>1</v>
      </c>
      <c r="C206">
        <f>IF(B206=1,annot_records!D206,annot_records!J206)</f>
        <v>571</v>
      </c>
      <c r="D206">
        <f>IF(B206=1,annot_records!H206,annot_records!L206)</f>
        <v>601</v>
      </c>
      <c r="E206">
        <f>IF(B206=1,annot_records!F206,-1)</f>
        <v>590</v>
      </c>
      <c r="F206">
        <f>IF(B206=1,annot_records!G206-(annot_records!E206+annot_records!I206)/2,-1)</f>
        <v>8191</v>
      </c>
      <c r="G206">
        <f>IF(B206=2,annot_records!O206-(annot_records!M206+annot_records!K206)*(annot_records!L206-annot_records!J206)/2,-1)</f>
        <v>-1</v>
      </c>
      <c r="H206">
        <f>IF(B206=2,annot_records!N206,-1)</f>
        <v>-1</v>
      </c>
    </row>
    <row r="207" spans="1:8" x14ac:dyDescent="0.25">
      <c r="A207">
        <f>annot_records!A207</f>
        <v>79</v>
      </c>
      <c r="B207">
        <f>IF(annot_records!B207="峰标注",1,2)</f>
        <v>2</v>
      </c>
      <c r="C207">
        <f>IF(B207=1,annot_records!D207,annot_records!J207)</f>
        <v>296</v>
      </c>
      <c r="D207">
        <f>IF(B207=1,annot_records!H207,annot_records!L207)</f>
        <v>346</v>
      </c>
      <c r="E207">
        <f>IF(B207=1,annot_records!F207,-1)</f>
        <v>-1</v>
      </c>
      <c r="F207">
        <f>IF(B207=1,annot_records!G207-(annot_records!E207+annot_records!I207)/2,-1)</f>
        <v>-1</v>
      </c>
      <c r="G207">
        <f>IF(B207=2,annot_records!O207-(annot_records!M207+annot_records!K207)*(annot_records!L207-annot_records!J207)/2,-1)</f>
        <v>294050</v>
      </c>
      <c r="H207">
        <f>IF(B207=2,annot_records!N207,-1)</f>
        <v>3</v>
      </c>
    </row>
    <row r="208" spans="1:8" x14ac:dyDescent="0.25">
      <c r="A208">
        <f>annot_records!A208</f>
        <v>79</v>
      </c>
      <c r="B208">
        <f>IF(annot_records!B208="峰标注",1,2)</f>
        <v>1</v>
      </c>
      <c r="C208">
        <f>IF(B208=1,annot_records!D208,annot_records!J208)</f>
        <v>368</v>
      </c>
      <c r="D208">
        <f>IF(B208=1,annot_records!H208,annot_records!L208)</f>
        <v>398</v>
      </c>
      <c r="E208">
        <f>IF(B208=1,annot_records!F208,-1)</f>
        <v>388</v>
      </c>
      <c r="F208">
        <f>IF(B208=1,annot_records!G208-(annot_records!E208+annot_records!I208)/2,-1)</f>
        <v>5805</v>
      </c>
      <c r="G208">
        <f>IF(B208=2,annot_records!O208-(annot_records!M208+annot_records!K208)*(annot_records!L208-annot_records!J208)/2,-1)</f>
        <v>-1</v>
      </c>
      <c r="H208">
        <f>IF(B208=2,annot_records!N208,-1)</f>
        <v>-1</v>
      </c>
    </row>
    <row r="209" spans="1:8" x14ac:dyDescent="0.25">
      <c r="A209">
        <f>annot_records!A209</f>
        <v>79</v>
      </c>
      <c r="B209">
        <f>IF(annot_records!B209="峰标注",1,2)</f>
        <v>2</v>
      </c>
      <c r="C209">
        <f>IF(B209=1,annot_records!D209,annot_records!J209)</f>
        <v>465</v>
      </c>
      <c r="D209">
        <f>IF(B209=1,annot_records!H209,annot_records!L209)</f>
        <v>503</v>
      </c>
      <c r="E209">
        <f>IF(B209=1,annot_records!F209,-1)</f>
        <v>-1</v>
      </c>
      <c r="F209">
        <f>IF(B209=1,annot_records!G209-(annot_records!E209+annot_records!I209)/2,-1)</f>
        <v>-1</v>
      </c>
      <c r="G209">
        <f>IF(B209=2,annot_records!O209-(annot_records!M209+annot_records!K209)*(annot_records!L209-annot_records!J209)/2,-1)</f>
        <v>24434</v>
      </c>
      <c r="H209">
        <f>IF(B209=2,annot_records!N209,-1)</f>
        <v>2</v>
      </c>
    </row>
    <row r="210" spans="1:8" x14ac:dyDescent="0.25">
      <c r="A210">
        <f>annot_records!A210</f>
        <v>79</v>
      </c>
      <c r="B210">
        <f>IF(annot_records!B210="峰标注",1,2)</f>
        <v>1</v>
      </c>
      <c r="C210">
        <f>IF(B210=1,annot_records!D210,annot_records!J210)</f>
        <v>567</v>
      </c>
      <c r="D210">
        <f>IF(B210=1,annot_records!H210,annot_records!L210)</f>
        <v>603</v>
      </c>
      <c r="E210">
        <f>IF(B210=1,annot_records!F210,-1)</f>
        <v>588</v>
      </c>
      <c r="F210">
        <f>IF(B210=1,annot_records!G210-(annot_records!E210+annot_records!I210)/2,-1)</f>
        <v>12839</v>
      </c>
      <c r="G210">
        <f>IF(B210=2,annot_records!O210-(annot_records!M210+annot_records!K210)*(annot_records!L210-annot_records!J210)/2,-1)</f>
        <v>-1</v>
      </c>
      <c r="H210">
        <f>IF(B210=2,annot_records!N210,-1)</f>
        <v>-1</v>
      </c>
    </row>
    <row r="211" spans="1:8" x14ac:dyDescent="0.25">
      <c r="A211">
        <f>annot_records!A211</f>
        <v>80</v>
      </c>
      <c r="B211">
        <f>IF(annot_records!B211="峰标注",1,2)</f>
        <v>2</v>
      </c>
      <c r="C211">
        <f>IF(B211=1,annot_records!D211,annot_records!J211)</f>
        <v>294</v>
      </c>
      <c r="D211">
        <f>IF(B211=1,annot_records!H211,annot_records!L211)</f>
        <v>348</v>
      </c>
      <c r="E211">
        <f>IF(B211=1,annot_records!F211,-1)</f>
        <v>-1</v>
      </c>
      <c r="F211">
        <f>IF(B211=1,annot_records!G211-(annot_records!E211+annot_records!I211)/2,-1)</f>
        <v>-1</v>
      </c>
      <c r="G211">
        <f>IF(B211=2,annot_records!O211-(annot_records!M211+annot_records!K211)*(annot_records!L211-annot_records!J211)/2,-1)</f>
        <v>335223</v>
      </c>
      <c r="H211">
        <f>IF(B211=2,annot_records!N211,-1)</f>
        <v>3</v>
      </c>
    </row>
    <row r="212" spans="1:8" x14ac:dyDescent="0.25">
      <c r="A212">
        <f>annot_records!A212</f>
        <v>80</v>
      </c>
      <c r="B212">
        <f>IF(annot_records!B212="峰标注",1,2)</f>
        <v>1</v>
      </c>
      <c r="C212">
        <f>IF(B212=1,annot_records!D212,annot_records!J212)</f>
        <v>367</v>
      </c>
      <c r="D212">
        <f>IF(B212=1,annot_records!H212,annot_records!L212)</f>
        <v>401</v>
      </c>
      <c r="E212">
        <f>IF(B212=1,annot_records!F212,-1)</f>
        <v>391</v>
      </c>
      <c r="F212">
        <f>IF(B212=1,annot_records!G212-(annot_records!E212+annot_records!I212)/2,-1)</f>
        <v>6324.5</v>
      </c>
      <c r="G212">
        <f>IF(B212=2,annot_records!O212-(annot_records!M212+annot_records!K212)*(annot_records!L212-annot_records!J212)/2,-1)</f>
        <v>-1</v>
      </c>
      <c r="H212">
        <f>IF(B212=2,annot_records!N212,-1)</f>
        <v>-1</v>
      </c>
    </row>
    <row r="213" spans="1:8" x14ac:dyDescent="0.25">
      <c r="A213">
        <f>annot_records!A213</f>
        <v>80</v>
      </c>
      <c r="B213">
        <f>IF(annot_records!B213="峰标注",1,2)</f>
        <v>2</v>
      </c>
      <c r="C213">
        <f>IF(B213=1,annot_records!D213,annot_records!J213)</f>
        <v>464</v>
      </c>
      <c r="D213">
        <f>IF(B213=1,annot_records!H213,annot_records!L213)</f>
        <v>503</v>
      </c>
      <c r="E213">
        <f>IF(B213=1,annot_records!F213,-1)</f>
        <v>-1</v>
      </c>
      <c r="F213">
        <f>IF(B213=1,annot_records!G213-(annot_records!E213+annot_records!I213)/2,-1)</f>
        <v>-1</v>
      </c>
      <c r="G213">
        <f>IF(B213=2,annot_records!O213-(annot_records!M213+annot_records!K213)*(annot_records!L213-annot_records!J213)/2,-1)</f>
        <v>30268</v>
      </c>
      <c r="H213">
        <f>IF(B213=2,annot_records!N213,-1)</f>
        <v>2</v>
      </c>
    </row>
    <row r="214" spans="1:8" x14ac:dyDescent="0.25">
      <c r="A214">
        <f>annot_records!A214</f>
        <v>80</v>
      </c>
      <c r="B214">
        <f>IF(annot_records!B214="峰标注",1,2)</f>
        <v>1</v>
      </c>
      <c r="C214">
        <f>IF(B214=1,annot_records!D214,annot_records!J214)</f>
        <v>564</v>
      </c>
      <c r="D214">
        <f>IF(B214=1,annot_records!H214,annot_records!L214)</f>
        <v>602</v>
      </c>
      <c r="E214">
        <f>IF(B214=1,annot_records!F214,-1)</f>
        <v>588</v>
      </c>
      <c r="F214">
        <f>IF(B214=1,annot_records!G214-(annot_records!E214+annot_records!I214)/2,-1)</f>
        <v>13617.5</v>
      </c>
      <c r="G214">
        <f>IF(B214=2,annot_records!O214-(annot_records!M214+annot_records!K214)*(annot_records!L214-annot_records!J214)/2,-1)</f>
        <v>-1</v>
      </c>
      <c r="H214">
        <f>IF(B214=2,annot_records!N214,-1)</f>
        <v>-1</v>
      </c>
    </row>
    <row r="215" spans="1:8" x14ac:dyDescent="0.25">
      <c r="A215">
        <f>annot_records!A215</f>
        <v>81</v>
      </c>
      <c r="B215">
        <f>IF(annot_records!B215="峰标注",1,2)</f>
        <v>2</v>
      </c>
      <c r="C215">
        <f>IF(B215=1,annot_records!D215,annot_records!J215)</f>
        <v>39</v>
      </c>
      <c r="D215">
        <f>IF(B215=1,annot_records!H215,annot_records!L215)</f>
        <v>82</v>
      </c>
      <c r="E215">
        <f>IF(B215=1,annot_records!F215,-1)</f>
        <v>-1</v>
      </c>
      <c r="F215">
        <f>IF(B215=1,annot_records!G215-(annot_records!E215+annot_records!I215)/2,-1)</f>
        <v>-1</v>
      </c>
      <c r="G215">
        <f>IF(B215=2,annot_records!O215-(annot_records!M215+annot_records!K215)*(annot_records!L215-annot_records!J215)/2,-1)</f>
        <v>12502</v>
      </c>
      <c r="H215">
        <f>IF(B215=2,annot_records!N215,-1)</f>
        <v>2</v>
      </c>
    </row>
    <row r="216" spans="1:8" x14ac:dyDescent="0.25">
      <c r="A216">
        <f>annot_records!A216</f>
        <v>81</v>
      </c>
      <c r="B216">
        <f>IF(annot_records!B216="峰标注",1,2)</f>
        <v>1</v>
      </c>
      <c r="C216">
        <f>IF(B216=1,annot_records!D216,annot_records!J216)</f>
        <v>125</v>
      </c>
      <c r="D216">
        <f>IF(B216=1,annot_records!H216,annot_records!L216)</f>
        <v>143</v>
      </c>
      <c r="E216">
        <f>IF(B216=1,annot_records!F216,-1)</f>
        <v>135</v>
      </c>
      <c r="F216">
        <f>IF(B216=1,annot_records!G216-(annot_records!E216+annot_records!I216)/2,-1)</f>
        <v>138</v>
      </c>
      <c r="G216">
        <f>IF(B216=2,annot_records!O216-(annot_records!M216+annot_records!K216)*(annot_records!L216-annot_records!J216)/2,-1)</f>
        <v>-1</v>
      </c>
      <c r="H216">
        <f>IF(B216=2,annot_records!N216,-1)</f>
        <v>-1</v>
      </c>
    </row>
    <row r="217" spans="1:8" x14ac:dyDescent="0.25">
      <c r="A217">
        <f>annot_records!A217</f>
        <v>81</v>
      </c>
      <c r="B217">
        <f>IF(annot_records!B217="峰标注",1,2)</f>
        <v>1</v>
      </c>
      <c r="C217">
        <f>IF(B217=1,annot_records!D217,annot_records!J217)</f>
        <v>359</v>
      </c>
      <c r="D217">
        <f>IF(B217=1,annot_records!H217,annot_records!L217)</f>
        <v>388</v>
      </c>
      <c r="E217">
        <f>IF(B217=1,annot_records!F217,-1)</f>
        <v>375</v>
      </c>
      <c r="F217">
        <f>IF(B217=1,annot_records!G217-(annot_records!E217+annot_records!I217)/2,-1)</f>
        <v>266</v>
      </c>
      <c r="G217">
        <f>IF(B217=2,annot_records!O217-(annot_records!M217+annot_records!K217)*(annot_records!L217-annot_records!J217)/2,-1)</f>
        <v>-1</v>
      </c>
      <c r="H217">
        <f>IF(B217=2,annot_records!N217,-1)</f>
        <v>-1</v>
      </c>
    </row>
    <row r="218" spans="1:8" x14ac:dyDescent="0.25">
      <c r="A218">
        <f>annot_records!A218</f>
        <v>82</v>
      </c>
      <c r="B218">
        <f>IF(annot_records!B218="峰标注",1,2)</f>
        <v>2</v>
      </c>
      <c r="C218">
        <f>IF(B218=1,annot_records!D218,annot_records!J218)</f>
        <v>37</v>
      </c>
      <c r="D218">
        <f>IF(B218=1,annot_records!H218,annot_records!L218)</f>
        <v>82</v>
      </c>
      <c r="E218">
        <f>IF(B218=1,annot_records!F218,-1)</f>
        <v>-1</v>
      </c>
      <c r="F218">
        <f>IF(B218=1,annot_records!G218-(annot_records!E218+annot_records!I218)/2,-1)</f>
        <v>-1</v>
      </c>
      <c r="G218">
        <f>IF(B218=2,annot_records!O218-(annot_records!M218+annot_records!K218)*(annot_records!L218-annot_records!J218)/2,-1)</f>
        <v>18945</v>
      </c>
      <c r="H218">
        <f>IF(B218=2,annot_records!N218,-1)</f>
        <v>2</v>
      </c>
    </row>
    <row r="219" spans="1:8" x14ac:dyDescent="0.25">
      <c r="A219">
        <f>annot_records!A219</f>
        <v>82</v>
      </c>
      <c r="B219">
        <f>IF(annot_records!B219="峰标注",1,2)</f>
        <v>1</v>
      </c>
      <c r="C219">
        <f>IF(B219=1,annot_records!D219,annot_records!J219)</f>
        <v>123</v>
      </c>
      <c r="D219">
        <f>IF(B219=1,annot_records!H219,annot_records!L219)</f>
        <v>142</v>
      </c>
      <c r="E219">
        <f>IF(B219=1,annot_records!F219,-1)</f>
        <v>136</v>
      </c>
      <c r="F219">
        <f>IF(B219=1,annot_records!G219-(annot_records!E219+annot_records!I219)/2,-1)</f>
        <v>262</v>
      </c>
      <c r="G219">
        <f>IF(B219=2,annot_records!O219-(annot_records!M219+annot_records!K219)*(annot_records!L219-annot_records!J219)/2,-1)</f>
        <v>-1</v>
      </c>
      <c r="H219">
        <f>IF(B219=2,annot_records!N219,-1)</f>
        <v>-1</v>
      </c>
    </row>
    <row r="220" spans="1:8" x14ac:dyDescent="0.25">
      <c r="A220">
        <f>annot_records!A220</f>
        <v>82</v>
      </c>
      <c r="B220">
        <f>IF(annot_records!B220="峰标注",1,2)</f>
        <v>1</v>
      </c>
      <c r="C220">
        <f>IF(B220=1,annot_records!D220,annot_records!J220)</f>
        <v>358</v>
      </c>
      <c r="D220">
        <f>IF(B220=1,annot_records!H220,annot_records!L220)</f>
        <v>387</v>
      </c>
      <c r="E220">
        <f>IF(B220=1,annot_records!F220,-1)</f>
        <v>373</v>
      </c>
      <c r="F220">
        <f>IF(B220=1,annot_records!G220-(annot_records!E220+annot_records!I220)/2,-1)</f>
        <v>630.5</v>
      </c>
      <c r="G220">
        <f>IF(B220=2,annot_records!O220-(annot_records!M220+annot_records!K220)*(annot_records!L220-annot_records!J220)/2,-1)</f>
        <v>-1</v>
      </c>
      <c r="H220">
        <f>IF(B220=2,annot_records!N220,-1)</f>
        <v>-1</v>
      </c>
    </row>
    <row r="221" spans="1:8" x14ac:dyDescent="0.25">
      <c r="A221">
        <f>annot_records!A221</f>
        <v>83</v>
      </c>
      <c r="B221">
        <f>IF(annot_records!B221="峰标注",1,2)</f>
        <v>1</v>
      </c>
      <c r="C221">
        <f>IF(B221=1,annot_records!D221,annot_records!J221)</f>
        <v>57</v>
      </c>
      <c r="D221">
        <f>IF(B221=1,annot_records!H221,annot_records!L221)</f>
        <v>79</v>
      </c>
      <c r="E221">
        <f>IF(B221=1,annot_records!F221,-1)</f>
        <v>69</v>
      </c>
      <c r="F221">
        <f>IF(B221=1,annot_records!G221-(annot_records!E221+annot_records!I221)/2,-1)</f>
        <v>1800</v>
      </c>
      <c r="G221">
        <f>IF(B221=2,annot_records!O221-(annot_records!M221+annot_records!K221)*(annot_records!L221-annot_records!J221)/2,-1)</f>
        <v>-1</v>
      </c>
      <c r="H221">
        <f>IF(B221=2,annot_records!N221,-1)</f>
        <v>-1</v>
      </c>
    </row>
    <row r="222" spans="1:8" x14ac:dyDescent="0.25">
      <c r="A222">
        <f>annot_records!A222</f>
        <v>83</v>
      </c>
      <c r="B222">
        <f>IF(annot_records!B222="峰标注",1,2)</f>
        <v>1</v>
      </c>
      <c r="C222">
        <f>IF(B222=1,annot_records!D222,annot_records!J222)</f>
        <v>124</v>
      </c>
      <c r="D222">
        <f>IF(B222=1,annot_records!H222,annot_records!L222)</f>
        <v>146</v>
      </c>
      <c r="E222">
        <f>IF(B222=1,annot_records!F222,-1)</f>
        <v>138</v>
      </c>
      <c r="F222">
        <f>IF(B222=1,annot_records!G222-(annot_records!E222+annot_records!I222)/2,-1)</f>
        <v>856</v>
      </c>
      <c r="G222">
        <f>IF(B222=2,annot_records!O222-(annot_records!M222+annot_records!K222)*(annot_records!L222-annot_records!J222)/2,-1)</f>
        <v>-1</v>
      </c>
      <c r="H222">
        <f>IF(B222=2,annot_records!N222,-1)</f>
        <v>-1</v>
      </c>
    </row>
    <row r="223" spans="1:8" x14ac:dyDescent="0.25">
      <c r="A223">
        <f>annot_records!A223</f>
        <v>83</v>
      </c>
      <c r="B223">
        <f>IF(annot_records!B223="峰标注",1,2)</f>
        <v>1</v>
      </c>
      <c r="C223">
        <f>IF(B223=1,annot_records!D223,annot_records!J223)</f>
        <v>357</v>
      </c>
      <c r="D223">
        <f>IF(B223=1,annot_records!H223,annot_records!L223)</f>
        <v>390</v>
      </c>
      <c r="E223">
        <f>IF(B223=1,annot_records!F223,-1)</f>
        <v>375</v>
      </c>
      <c r="F223">
        <f>IF(B223=1,annot_records!G223-(annot_records!E223+annot_records!I223)/2,-1)</f>
        <v>2115</v>
      </c>
      <c r="G223">
        <f>IF(B223=2,annot_records!O223-(annot_records!M223+annot_records!K223)*(annot_records!L223-annot_records!J223)/2,-1)</f>
        <v>-1</v>
      </c>
      <c r="H223">
        <f>IF(B223=2,annot_records!N223,-1)</f>
        <v>-1</v>
      </c>
    </row>
    <row r="224" spans="1:8" x14ac:dyDescent="0.25">
      <c r="A224">
        <f>annot_records!A224</f>
        <v>84</v>
      </c>
      <c r="B224">
        <f>IF(annot_records!B224="峰标注",1,2)</f>
        <v>2</v>
      </c>
      <c r="C224">
        <f>IF(B224=1,annot_records!D224,annot_records!J224)</f>
        <v>36</v>
      </c>
      <c r="D224">
        <f>IF(B224=1,annot_records!H224,annot_records!L224)</f>
        <v>86</v>
      </c>
      <c r="E224">
        <f>IF(B224=1,annot_records!F224,-1)</f>
        <v>-1</v>
      </c>
      <c r="F224">
        <f>IF(B224=1,annot_records!G224-(annot_records!E224+annot_records!I224)/2,-1)</f>
        <v>-1</v>
      </c>
      <c r="G224">
        <f>IF(B224=2,annot_records!O224-(annot_records!M224+annot_records!K224)*(annot_records!L224-annot_records!J224)/2,-1)</f>
        <v>77927</v>
      </c>
      <c r="H224">
        <f>IF(B224=2,annot_records!N224,-1)</f>
        <v>2</v>
      </c>
    </row>
    <row r="225" spans="1:8" x14ac:dyDescent="0.25">
      <c r="A225">
        <f>annot_records!A225</f>
        <v>84</v>
      </c>
      <c r="B225">
        <f>IF(annot_records!B225="峰标注",1,2)</f>
        <v>1</v>
      </c>
      <c r="C225">
        <f>IF(B225=1,annot_records!D225,annot_records!J225)</f>
        <v>110</v>
      </c>
      <c r="D225">
        <f>IF(B225=1,annot_records!H225,annot_records!L225)</f>
        <v>122</v>
      </c>
      <c r="E225">
        <f>IF(B225=1,annot_records!F225,-1)</f>
        <v>117</v>
      </c>
      <c r="F225">
        <f>IF(B225=1,annot_records!G225-(annot_records!E225+annot_records!I225)/2,-1)</f>
        <v>1098.5</v>
      </c>
      <c r="G225">
        <f>IF(B225=2,annot_records!O225-(annot_records!M225+annot_records!K225)*(annot_records!L225-annot_records!J225)/2,-1)</f>
        <v>-1</v>
      </c>
      <c r="H225">
        <f>IF(B225=2,annot_records!N225,-1)</f>
        <v>-1</v>
      </c>
    </row>
    <row r="226" spans="1:8" x14ac:dyDescent="0.25">
      <c r="A226">
        <f>annot_records!A226</f>
        <v>84</v>
      </c>
      <c r="B226">
        <f>IF(annot_records!B226="峰标注",1,2)</f>
        <v>1</v>
      </c>
      <c r="C226">
        <f>IF(B226=1,annot_records!D226,annot_records!J226)</f>
        <v>126</v>
      </c>
      <c r="D226">
        <f>IF(B226=1,annot_records!H226,annot_records!L226)</f>
        <v>150</v>
      </c>
      <c r="E226">
        <f>IF(B226=1,annot_records!F226,-1)</f>
        <v>142</v>
      </c>
      <c r="F226">
        <f>IF(B226=1,annot_records!G226-(annot_records!E226+annot_records!I226)/2,-1)</f>
        <v>1649.5</v>
      </c>
      <c r="G226">
        <f>IF(B226=2,annot_records!O226-(annot_records!M226+annot_records!K226)*(annot_records!L226-annot_records!J226)/2,-1)</f>
        <v>-1</v>
      </c>
      <c r="H226">
        <f>IF(B226=2,annot_records!N226,-1)</f>
        <v>-1</v>
      </c>
    </row>
    <row r="227" spans="1:8" x14ac:dyDescent="0.25">
      <c r="A227">
        <f>annot_records!A227</f>
        <v>84</v>
      </c>
      <c r="B227">
        <f>IF(annot_records!B227="峰标注",1,2)</f>
        <v>1</v>
      </c>
      <c r="C227">
        <f>IF(B227=1,annot_records!D227,annot_records!J227)</f>
        <v>356</v>
      </c>
      <c r="D227">
        <f>IF(B227=1,annot_records!H227,annot_records!L227)</f>
        <v>388</v>
      </c>
      <c r="E227">
        <f>IF(B227=1,annot_records!F227,-1)</f>
        <v>377</v>
      </c>
      <c r="F227">
        <f>IF(B227=1,annot_records!G227-(annot_records!E227+annot_records!I227)/2,-1)</f>
        <v>4448.5</v>
      </c>
      <c r="G227">
        <f>IF(B227=2,annot_records!O227-(annot_records!M227+annot_records!K227)*(annot_records!L227-annot_records!J227)/2,-1)</f>
        <v>-1</v>
      </c>
      <c r="H227">
        <f>IF(B227=2,annot_records!N227,-1)</f>
        <v>-1</v>
      </c>
    </row>
    <row r="228" spans="1:8" x14ac:dyDescent="0.25">
      <c r="A228">
        <f>annot_records!A228</f>
        <v>85</v>
      </c>
      <c r="B228">
        <f>IF(annot_records!B228="峰标注",1,2)</f>
        <v>2</v>
      </c>
      <c r="C228">
        <f>IF(B228=1,annot_records!D228,annot_records!J228)</f>
        <v>35</v>
      </c>
      <c r="D228">
        <f>IF(B228=1,annot_records!H228,annot_records!L228)</f>
        <v>87</v>
      </c>
      <c r="E228">
        <f>IF(B228=1,annot_records!F228,-1)</f>
        <v>-1</v>
      </c>
      <c r="F228">
        <f>IF(B228=1,annot_records!G228-(annot_records!E228+annot_records!I228)/2,-1)</f>
        <v>-1</v>
      </c>
      <c r="G228">
        <f>IF(B228=2,annot_records!O228-(annot_records!M228+annot_records!K228)*(annot_records!L228-annot_records!J228)/2,-1)</f>
        <v>146750</v>
      </c>
      <c r="H228">
        <f>IF(B228=2,annot_records!N228,-1)</f>
        <v>2</v>
      </c>
    </row>
    <row r="229" spans="1:8" x14ac:dyDescent="0.25">
      <c r="A229">
        <f>annot_records!A229</f>
        <v>85</v>
      </c>
      <c r="B229">
        <f>IF(annot_records!B229="峰标注",1,2)</f>
        <v>1</v>
      </c>
      <c r="C229">
        <f>IF(B229=1,annot_records!D229,annot_records!J229)</f>
        <v>126</v>
      </c>
      <c r="D229">
        <f>IF(B229=1,annot_records!H229,annot_records!L229)</f>
        <v>156</v>
      </c>
      <c r="E229">
        <f>IF(B229=1,annot_records!F229,-1)</f>
        <v>147</v>
      </c>
      <c r="F229">
        <f>IF(B229=1,annot_records!G229-(annot_records!E229+annot_records!I229)/2,-1)</f>
        <v>3146.5</v>
      </c>
      <c r="G229">
        <f>IF(B229=2,annot_records!O229-(annot_records!M229+annot_records!K229)*(annot_records!L229-annot_records!J229)/2,-1)</f>
        <v>-1</v>
      </c>
      <c r="H229">
        <f>IF(B229=2,annot_records!N229,-1)</f>
        <v>-1</v>
      </c>
    </row>
    <row r="230" spans="1:8" x14ac:dyDescent="0.25">
      <c r="A230">
        <f>annot_records!A230</f>
        <v>85</v>
      </c>
      <c r="B230">
        <f>IF(annot_records!B230="峰标注",1,2)</f>
        <v>1</v>
      </c>
      <c r="C230">
        <f>IF(B230=1,annot_records!D230,annot_records!J230)</f>
        <v>352</v>
      </c>
      <c r="D230">
        <f>IF(B230=1,annot_records!H230,annot_records!L230)</f>
        <v>387</v>
      </c>
      <c r="E230">
        <f>IF(B230=1,annot_records!F230,-1)</f>
        <v>375</v>
      </c>
      <c r="F230">
        <f>IF(B230=1,annot_records!G230-(annot_records!E230+annot_records!I230)/2,-1)</f>
        <v>8392.5</v>
      </c>
      <c r="G230">
        <f>IF(B230=2,annot_records!O230-(annot_records!M230+annot_records!K230)*(annot_records!L230-annot_records!J230)/2,-1)</f>
        <v>-1</v>
      </c>
      <c r="H230">
        <f>IF(B230=2,annot_records!N230,-1)</f>
        <v>-1</v>
      </c>
    </row>
    <row r="231" spans="1:8" x14ac:dyDescent="0.25">
      <c r="A231">
        <f>annot_records!A231</f>
        <v>86</v>
      </c>
      <c r="B231">
        <f>IF(annot_records!B231="峰标注",1,2)</f>
        <v>2</v>
      </c>
      <c r="C231">
        <f>IF(B231=1,annot_records!D231,annot_records!J231)</f>
        <v>37</v>
      </c>
      <c r="D231">
        <f>IF(B231=1,annot_records!H231,annot_records!L231)</f>
        <v>91</v>
      </c>
      <c r="E231">
        <f>IF(B231=1,annot_records!F231,-1)</f>
        <v>-1</v>
      </c>
      <c r="F231">
        <f>IF(B231=1,annot_records!G231-(annot_records!E231+annot_records!I231)/2,-1)</f>
        <v>-1</v>
      </c>
      <c r="G231">
        <f>IF(B231=2,annot_records!O231-(annot_records!M231+annot_records!K231)*(annot_records!L231-annot_records!J231)/2,-1)</f>
        <v>268437</v>
      </c>
      <c r="H231">
        <f>IF(B231=2,annot_records!N231,-1)</f>
        <v>2</v>
      </c>
    </row>
    <row r="232" spans="1:8" x14ac:dyDescent="0.25">
      <c r="A232">
        <f>annot_records!A232</f>
        <v>86</v>
      </c>
      <c r="B232">
        <f>IF(annot_records!B232="峰标注",1,2)</f>
        <v>1</v>
      </c>
      <c r="C232">
        <f>IF(B232=1,annot_records!D232,annot_records!J232)</f>
        <v>129</v>
      </c>
      <c r="D232">
        <f>IF(B232=1,annot_records!H232,annot_records!L232)</f>
        <v>162</v>
      </c>
      <c r="E232">
        <f>IF(B232=1,annot_records!F232,-1)</f>
        <v>152</v>
      </c>
      <c r="F232">
        <f>IF(B232=1,annot_records!G232-(annot_records!E232+annot_records!I232)/2,-1)</f>
        <v>5339.5</v>
      </c>
      <c r="G232">
        <f>IF(B232=2,annot_records!O232-(annot_records!M232+annot_records!K232)*(annot_records!L232-annot_records!J232)/2,-1)</f>
        <v>-1</v>
      </c>
      <c r="H232">
        <f>IF(B232=2,annot_records!N232,-1)</f>
        <v>-1</v>
      </c>
    </row>
    <row r="233" spans="1:8" x14ac:dyDescent="0.25">
      <c r="A233">
        <f>annot_records!A233</f>
        <v>86</v>
      </c>
      <c r="B233">
        <f>IF(annot_records!B233="峰标注",1,2)</f>
        <v>1</v>
      </c>
      <c r="C233">
        <f>IF(B233=1,annot_records!D233,annot_records!J233)</f>
        <v>348</v>
      </c>
      <c r="D233">
        <f>IF(B233=1,annot_records!H233,annot_records!L233)</f>
        <v>388</v>
      </c>
      <c r="E233">
        <f>IF(B233=1,annot_records!F233,-1)</f>
        <v>374</v>
      </c>
      <c r="F233">
        <f>IF(B233=1,annot_records!G233-(annot_records!E233+annot_records!I233)/2,-1)</f>
        <v>12471.5</v>
      </c>
      <c r="G233">
        <f>IF(B233=2,annot_records!O233-(annot_records!M233+annot_records!K233)*(annot_records!L233-annot_records!J233)/2,-1)</f>
        <v>-1</v>
      </c>
      <c r="H233">
        <f>IF(B233=2,annot_records!N233,-1)</f>
        <v>-1</v>
      </c>
    </row>
    <row r="234" spans="1:8" x14ac:dyDescent="0.25">
      <c r="A234">
        <f>annot_records!A234</f>
        <v>87</v>
      </c>
      <c r="B234">
        <f>IF(annot_records!B234="峰标注",1,2)</f>
        <v>2</v>
      </c>
      <c r="C234">
        <f>IF(B234=1,annot_records!D234,annot_records!J234)</f>
        <v>40</v>
      </c>
      <c r="D234">
        <f>IF(B234=1,annot_records!H234,annot_records!L234)</f>
        <v>93</v>
      </c>
      <c r="E234">
        <f>IF(B234=1,annot_records!F234,-1)</f>
        <v>-1</v>
      </c>
      <c r="F234">
        <f>IF(B234=1,annot_records!G234-(annot_records!E234+annot_records!I234)/2,-1)</f>
        <v>-1</v>
      </c>
      <c r="G234">
        <f>IF(B234=2,annot_records!O234-(annot_records!M234+annot_records!K234)*(annot_records!L234-annot_records!J234)/2,-1)</f>
        <v>328742.5</v>
      </c>
      <c r="H234">
        <f>IF(B234=2,annot_records!N234,-1)</f>
        <v>2</v>
      </c>
    </row>
    <row r="235" spans="1:8" x14ac:dyDescent="0.25">
      <c r="A235">
        <f>annot_records!A235</f>
        <v>87</v>
      </c>
      <c r="B235">
        <f>IF(annot_records!B235="峰标注",1,2)</f>
        <v>1</v>
      </c>
      <c r="C235">
        <f>IF(B235=1,annot_records!D235,annot_records!J235)</f>
        <v>137</v>
      </c>
      <c r="D235">
        <f>IF(B235=1,annot_records!H235,annot_records!L235)</f>
        <v>169</v>
      </c>
      <c r="E235">
        <f>IF(B235=1,annot_records!F235,-1)</f>
        <v>159</v>
      </c>
      <c r="F235">
        <f>IF(B235=1,annot_records!G235-(annot_records!E235+annot_records!I235)/2,-1)</f>
        <v>6983.5</v>
      </c>
      <c r="G235">
        <f>IF(B235=2,annot_records!O235-(annot_records!M235+annot_records!K235)*(annot_records!L235-annot_records!J235)/2,-1)</f>
        <v>-1</v>
      </c>
      <c r="H235">
        <f>IF(B235=2,annot_records!N235,-1)</f>
        <v>-1</v>
      </c>
    </row>
    <row r="236" spans="1:8" x14ac:dyDescent="0.25">
      <c r="A236">
        <f>annot_records!A236</f>
        <v>87</v>
      </c>
      <c r="B236">
        <f>IF(annot_records!B236="峰标注",1,2)</f>
        <v>1</v>
      </c>
      <c r="C236">
        <f>IF(B236=1,annot_records!D236,annot_records!J236)</f>
        <v>346</v>
      </c>
      <c r="D236">
        <f>IF(B236=1,annot_records!H236,annot_records!L236)</f>
        <v>385</v>
      </c>
      <c r="E236">
        <f>IF(B236=1,annot_records!F236,-1)</f>
        <v>373</v>
      </c>
      <c r="F236">
        <f>IF(B236=1,annot_records!G236-(annot_records!E236+annot_records!I236)/2,-1)</f>
        <v>13058.5</v>
      </c>
      <c r="G236">
        <f>IF(B236=2,annot_records!O236-(annot_records!M236+annot_records!K236)*(annot_records!L236-annot_records!J236)/2,-1)</f>
        <v>-1</v>
      </c>
      <c r="H236">
        <f>IF(B236=2,annot_records!N236,-1)</f>
        <v>-1</v>
      </c>
    </row>
    <row r="237" spans="1:8" x14ac:dyDescent="0.25">
      <c r="A237">
        <f>annot_records!A237</f>
        <v>88</v>
      </c>
      <c r="B237">
        <f>IF(annot_records!B237="峰标注",1,2)</f>
        <v>1</v>
      </c>
      <c r="C237">
        <f>IF(B237=1,annot_records!D237,annot_records!J237)</f>
        <v>352</v>
      </c>
      <c r="D237">
        <f>IF(B237=1,annot_records!H237,annot_records!L237)</f>
        <v>380</v>
      </c>
      <c r="E237">
        <f>IF(B237=1,annot_records!F237,-1)</f>
        <v>367</v>
      </c>
      <c r="F237">
        <f>IF(B237=1,annot_records!G237-(annot_records!E237+annot_records!I237)/2,-1)</f>
        <v>185</v>
      </c>
      <c r="G237">
        <f>IF(B237=2,annot_records!O237-(annot_records!M237+annot_records!K237)*(annot_records!L237-annot_records!J237)/2,-1)</f>
        <v>-1</v>
      </c>
      <c r="H237">
        <f>IF(B237=2,annot_records!N237,-1)</f>
        <v>-1</v>
      </c>
    </row>
    <row r="238" spans="1:8" x14ac:dyDescent="0.25">
      <c r="A238">
        <f>annot_records!A238</f>
        <v>89</v>
      </c>
      <c r="B238">
        <f>IF(annot_records!B238="峰标注",1,2)</f>
        <v>2</v>
      </c>
      <c r="C238">
        <f>IF(B238=1,annot_records!D238,annot_records!J238)</f>
        <v>19</v>
      </c>
      <c r="D238">
        <f>IF(B238=1,annot_records!H238,annot_records!L238)</f>
        <v>45</v>
      </c>
      <c r="E238">
        <f>IF(B238=1,annot_records!F238,-1)</f>
        <v>-1</v>
      </c>
      <c r="F238">
        <f>IF(B238=1,annot_records!G238-(annot_records!E238+annot_records!I238)/2,-1)</f>
        <v>-1</v>
      </c>
      <c r="G238">
        <f>IF(B238=2,annot_records!O238-(annot_records!M238+annot_records!K238)*(annot_records!L238-annot_records!J238)/2,-1)</f>
        <v>13960</v>
      </c>
      <c r="H238">
        <f>IF(B238=2,annot_records!N238,-1)</f>
        <v>2</v>
      </c>
    </row>
    <row r="239" spans="1:8" x14ac:dyDescent="0.25">
      <c r="A239">
        <f>annot_records!A239</f>
        <v>89</v>
      </c>
      <c r="B239">
        <f>IF(annot_records!B239="峰标注",1,2)</f>
        <v>1</v>
      </c>
      <c r="C239">
        <f>IF(B239=1,annot_records!D239,annot_records!J239)</f>
        <v>94</v>
      </c>
      <c r="D239">
        <f>IF(B239=1,annot_records!H239,annot_records!L239)</f>
        <v>112</v>
      </c>
      <c r="E239">
        <f>IF(B239=1,annot_records!F239,-1)</f>
        <v>108</v>
      </c>
      <c r="F239">
        <f>IF(B239=1,annot_records!G239-(annot_records!E239+annot_records!I239)/2,-1)</f>
        <v>134.5</v>
      </c>
      <c r="G239">
        <f>IF(B239=2,annot_records!O239-(annot_records!M239+annot_records!K239)*(annot_records!L239-annot_records!J239)/2,-1)</f>
        <v>-1</v>
      </c>
      <c r="H239">
        <f>IF(B239=2,annot_records!N239,-1)</f>
        <v>-1</v>
      </c>
    </row>
    <row r="240" spans="1:8" x14ac:dyDescent="0.25">
      <c r="A240">
        <f>annot_records!A240</f>
        <v>89</v>
      </c>
      <c r="B240">
        <f>IF(annot_records!B240="峰标注",1,2)</f>
        <v>1</v>
      </c>
      <c r="C240">
        <f>IF(B240=1,annot_records!D240,annot_records!J240)</f>
        <v>353</v>
      </c>
      <c r="D240">
        <f>IF(B240=1,annot_records!H240,annot_records!L240)</f>
        <v>379</v>
      </c>
      <c r="E240">
        <f>IF(B240=1,annot_records!F240,-1)</f>
        <v>368</v>
      </c>
      <c r="F240">
        <f>IF(B240=1,annot_records!G240-(annot_records!E240+annot_records!I240)/2,-1)</f>
        <v>305</v>
      </c>
      <c r="G240">
        <f>IF(B240=2,annot_records!O240-(annot_records!M240+annot_records!K240)*(annot_records!L240-annot_records!J240)/2,-1)</f>
        <v>-1</v>
      </c>
      <c r="H240">
        <f>IF(B240=2,annot_records!N240,-1)</f>
        <v>-1</v>
      </c>
    </row>
    <row r="241" spans="1:8" x14ac:dyDescent="0.25">
      <c r="A241">
        <f>annot_records!A241</f>
        <v>90</v>
      </c>
      <c r="B241">
        <f>IF(annot_records!B241="峰标注",1,2)</f>
        <v>2</v>
      </c>
      <c r="C241">
        <f>IF(B241=1,annot_records!D241,annot_records!J241)</f>
        <v>17</v>
      </c>
      <c r="D241">
        <f>IF(B241=1,annot_records!H241,annot_records!L241)</f>
        <v>45</v>
      </c>
      <c r="E241">
        <f>IF(B241=1,annot_records!F241,-1)</f>
        <v>-1</v>
      </c>
      <c r="F241">
        <f>IF(B241=1,annot_records!G241-(annot_records!E241+annot_records!I241)/2,-1)</f>
        <v>-1</v>
      </c>
      <c r="G241">
        <f>IF(B241=2,annot_records!O241-(annot_records!M241+annot_records!K241)*(annot_records!L241-annot_records!J241)/2,-1)</f>
        <v>29393</v>
      </c>
      <c r="H241">
        <f>IF(B241=2,annot_records!N241,-1)</f>
        <v>2</v>
      </c>
    </row>
    <row r="242" spans="1:8" x14ac:dyDescent="0.25">
      <c r="A242">
        <f>annot_records!A242</f>
        <v>90</v>
      </c>
      <c r="B242">
        <f>IF(annot_records!B242="峰标注",1,2)</f>
        <v>1</v>
      </c>
      <c r="C242">
        <f>IF(B242=1,annot_records!D242,annot_records!J242)</f>
        <v>92</v>
      </c>
      <c r="D242">
        <f>IF(B242=1,annot_records!H242,annot_records!L242)</f>
        <v>113</v>
      </c>
      <c r="E242">
        <f>IF(B242=1,annot_records!F242,-1)</f>
        <v>106</v>
      </c>
      <c r="F242">
        <f>IF(B242=1,annot_records!G242-(annot_records!E242+annot_records!I242)/2,-1)</f>
        <v>628.5</v>
      </c>
      <c r="G242">
        <f>IF(B242=2,annot_records!O242-(annot_records!M242+annot_records!K242)*(annot_records!L242-annot_records!J242)/2,-1)</f>
        <v>-1</v>
      </c>
      <c r="H242">
        <f>IF(B242=2,annot_records!N242,-1)</f>
        <v>-1</v>
      </c>
    </row>
    <row r="243" spans="1:8" x14ac:dyDescent="0.25">
      <c r="A243">
        <f>annot_records!A243</f>
        <v>90</v>
      </c>
      <c r="B243">
        <f>IF(annot_records!B243="峰标注",1,2)</f>
        <v>1</v>
      </c>
      <c r="C243">
        <f>IF(B243=1,annot_records!D243,annot_records!J243)</f>
        <v>349</v>
      </c>
      <c r="D243">
        <f>IF(B243=1,annot_records!H243,annot_records!L243)</f>
        <v>383</v>
      </c>
      <c r="E243">
        <f>IF(B243=1,annot_records!F243,-1)</f>
        <v>367</v>
      </c>
      <c r="F243">
        <f>IF(B243=1,annot_records!G243-(annot_records!E243+annot_records!I243)/2,-1)</f>
        <v>1267</v>
      </c>
      <c r="G243">
        <f>IF(B243=2,annot_records!O243-(annot_records!M243+annot_records!K243)*(annot_records!L243-annot_records!J243)/2,-1)</f>
        <v>-1</v>
      </c>
      <c r="H243">
        <f>IF(B243=2,annot_records!N243,-1)</f>
        <v>-1</v>
      </c>
    </row>
    <row r="244" spans="1:8" x14ac:dyDescent="0.25">
      <c r="A244">
        <f>annot_records!A244</f>
        <v>91</v>
      </c>
      <c r="B244">
        <f>IF(annot_records!B244="峰标注",1,2)</f>
        <v>1</v>
      </c>
      <c r="C244">
        <f>IF(B244=1,annot_records!D244,annot_records!J244)</f>
        <v>15</v>
      </c>
      <c r="D244">
        <f>IF(B244=1,annot_records!H244,annot_records!L244)</f>
        <v>46</v>
      </c>
      <c r="E244">
        <f>IF(B244=1,annot_records!F244,-1)</f>
        <v>33</v>
      </c>
      <c r="F244">
        <f>IF(B244=1,annot_records!G244-(annot_records!E244+annot_records!I244)/2,-1)</f>
        <v>4414.5</v>
      </c>
      <c r="G244">
        <f>IF(B244=2,annot_records!O244-(annot_records!M244+annot_records!K244)*(annot_records!L244-annot_records!J244)/2,-1)</f>
        <v>-1</v>
      </c>
      <c r="H244">
        <f>IF(B244=2,annot_records!N244,-1)</f>
        <v>-1</v>
      </c>
    </row>
    <row r="245" spans="1:8" x14ac:dyDescent="0.25">
      <c r="A245">
        <f>annot_records!A245</f>
        <v>91</v>
      </c>
      <c r="B245">
        <f>IF(annot_records!B245="峰标注",1,2)</f>
        <v>1</v>
      </c>
      <c r="C245">
        <f>IF(B245=1,annot_records!D245,annot_records!J245)</f>
        <v>91</v>
      </c>
      <c r="D245">
        <f>IF(B245=1,annot_records!H245,annot_records!L245)</f>
        <v>115</v>
      </c>
      <c r="E245">
        <f>IF(B245=1,annot_records!F245,-1)</f>
        <v>108</v>
      </c>
      <c r="F245">
        <f>IF(B245=1,annot_records!G245-(annot_records!E245+annot_records!I245)/2,-1)</f>
        <v>1335.5</v>
      </c>
      <c r="G245">
        <f>IF(B245=2,annot_records!O245-(annot_records!M245+annot_records!K245)*(annot_records!L245-annot_records!J245)/2,-1)</f>
        <v>-1</v>
      </c>
      <c r="H245">
        <f>IF(B245=2,annot_records!N245,-1)</f>
        <v>-1</v>
      </c>
    </row>
    <row r="246" spans="1:8" x14ac:dyDescent="0.25">
      <c r="A246">
        <f>annot_records!A246</f>
        <v>91</v>
      </c>
      <c r="B246">
        <f>IF(annot_records!B246="峰标注",1,2)</f>
        <v>1</v>
      </c>
      <c r="C246">
        <f>IF(B246=1,annot_records!D246,annot_records!J246)</f>
        <v>350</v>
      </c>
      <c r="D246">
        <f>IF(B246=1,annot_records!H246,annot_records!L246)</f>
        <v>380</v>
      </c>
      <c r="E246">
        <f>IF(B246=1,annot_records!F246,-1)</f>
        <v>367</v>
      </c>
      <c r="F246">
        <f>IF(B246=1,annot_records!G246-(annot_records!E246+annot_records!I246)/2,-1)</f>
        <v>3138</v>
      </c>
      <c r="G246">
        <f>IF(B246=2,annot_records!O246-(annot_records!M246+annot_records!K246)*(annot_records!L246-annot_records!J246)/2,-1)</f>
        <v>-1</v>
      </c>
      <c r="H246">
        <f>IF(B246=2,annot_records!N246,-1)</f>
        <v>-1</v>
      </c>
    </row>
    <row r="247" spans="1:8" x14ac:dyDescent="0.25">
      <c r="A247">
        <f>annot_records!A247</f>
        <v>92</v>
      </c>
      <c r="B247">
        <f>IF(annot_records!B247="峰标注",1,2)</f>
        <v>1</v>
      </c>
      <c r="C247">
        <f>IF(B247=1,annot_records!D247,annot_records!J247)</f>
        <v>15</v>
      </c>
      <c r="D247">
        <f>IF(B247=1,annot_records!H247,annot_records!L247)</f>
        <v>46</v>
      </c>
      <c r="E247">
        <f>IF(B247=1,annot_records!F247,-1)</f>
        <v>34</v>
      </c>
      <c r="F247">
        <f>IF(B247=1,annot_records!G247-(annot_records!E247+annot_records!I247)/2,-1)</f>
        <v>8557</v>
      </c>
      <c r="G247">
        <f>IF(B247=2,annot_records!O247-(annot_records!M247+annot_records!K247)*(annot_records!L247-annot_records!J247)/2,-1)</f>
        <v>-1</v>
      </c>
      <c r="H247">
        <f>IF(B247=2,annot_records!N247,-1)</f>
        <v>-1</v>
      </c>
    </row>
    <row r="248" spans="1:8" x14ac:dyDescent="0.25">
      <c r="A248">
        <f>annot_records!A248</f>
        <v>93</v>
      </c>
      <c r="B248">
        <f>IF(annot_records!B248="峰标注",1,2)</f>
        <v>1</v>
      </c>
      <c r="C248">
        <f>IF(B248=1,annot_records!D248,annot_records!J248)</f>
        <v>91</v>
      </c>
      <c r="D248">
        <f>IF(B248=1,annot_records!H248,annot_records!L248)</f>
        <v>125</v>
      </c>
      <c r="E248">
        <f>IF(B248=1,annot_records!F248,-1)</f>
        <v>114</v>
      </c>
      <c r="F248">
        <f>IF(B248=1,annot_records!G248-(annot_records!E248+annot_records!I248)/2,-1)</f>
        <v>4602.5</v>
      </c>
      <c r="G248">
        <f>IF(B248=2,annot_records!O248-(annot_records!M248+annot_records!K248)*(annot_records!L248-annot_records!J248)/2,-1)</f>
        <v>-1</v>
      </c>
      <c r="H248">
        <f>IF(B248=2,annot_records!N248,-1)</f>
        <v>-1</v>
      </c>
    </row>
    <row r="249" spans="1:8" x14ac:dyDescent="0.25">
      <c r="A249">
        <f>annot_records!A249</f>
        <v>93</v>
      </c>
      <c r="B249">
        <f>IF(annot_records!B249="峰标注",1,2)</f>
        <v>1</v>
      </c>
      <c r="C249">
        <f>IF(B249=1,annot_records!D249,annot_records!J249)</f>
        <v>343</v>
      </c>
      <c r="D249">
        <f>IF(B249=1,annot_records!H249,annot_records!L249)</f>
        <v>384</v>
      </c>
      <c r="E249">
        <f>IF(B249=1,annot_records!F249,-1)</f>
        <v>368</v>
      </c>
      <c r="F249">
        <f>IF(B249=1,annot_records!G249-(annot_records!E249+annot_records!I249)/2,-1)</f>
        <v>11928.5</v>
      </c>
      <c r="G249">
        <f>IF(B249=2,annot_records!O249-(annot_records!M249+annot_records!K249)*(annot_records!L249-annot_records!J249)/2,-1)</f>
        <v>-1</v>
      </c>
      <c r="H249">
        <f>IF(B249=2,annot_records!N249,-1)</f>
        <v>-1</v>
      </c>
    </row>
    <row r="250" spans="1:8" x14ac:dyDescent="0.25">
      <c r="A250">
        <f>annot_records!A250</f>
        <v>94</v>
      </c>
      <c r="B250">
        <f>IF(annot_records!B250="峰标注",1,2)</f>
        <v>1</v>
      </c>
      <c r="C250">
        <f>IF(B250=1,annot_records!D250,annot_records!J250)</f>
        <v>17</v>
      </c>
      <c r="D250">
        <f>IF(B250=1,annot_records!H250,annot_records!L250)</f>
        <v>52</v>
      </c>
      <c r="E250">
        <f>IF(B250=1,annot_records!F250,-1)</f>
        <v>38</v>
      </c>
      <c r="F250">
        <f>IF(B250=1,annot_records!G250-(annot_records!E250+annot_records!I250)/2,-1)</f>
        <v>15528.5</v>
      </c>
      <c r="G250">
        <f>IF(B250=2,annot_records!O250-(annot_records!M250+annot_records!K250)*(annot_records!L250-annot_records!J250)/2,-1)</f>
        <v>-1</v>
      </c>
      <c r="H250">
        <f>IF(B250=2,annot_records!N250,-1)</f>
        <v>-1</v>
      </c>
    </row>
    <row r="251" spans="1:8" x14ac:dyDescent="0.25">
      <c r="A251">
        <f>annot_records!A251</f>
        <v>94</v>
      </c>
      <c r="B251">
        <f>IF(annot_records!B251="峰标注",1,2)</f>
        <v>1</v>
      </c>
      <c r="C251">
        <f>IF(B251=1,annot_records!D251,annot_records!J251)</f>
        <v>91</v>
      </c>
      <c r="D251">
        <f>IF(B251=1,annot_records!H251,annot_records!L251)</f>
        <v>131</v>
      </c>
      <c r="E251">
        <f>IF(B251=1,annot_records!F251,-1)</f>
        <v>118</v>
      </c>
      <c r="F251">
        <f>IF(B251=1,annot_records!G251-(annot_records!E251+annot_records!I251)/2,-1)</f>
        <v>5365</v>
      </c>
      <c r="G251">
        <f>IF(B251=2,annot_records!O251-(annot_records!M251+annot_records!K251)*(annot_records!L251-annot_records!J251)/2,-1)</f>
        <v>-1</v>
      </c>
      <c r="H251">
        <f>IF(B251=2,annot_records!N251,-1)</f>
        <v>-1</v>
      </c>
    </row>
    <row r="252" spans="1:8" x14ac:dyDescent="0.25">
      <c r="A252">
        <f>annot_records!A252</f>
        <v>94</v>
      </c>
      <c r="B252">
        <f>IF(annot_records!B252="峰标注",1,2)</f>
        <v>1</v>
      </c>
      <c r="C252">
        <f>IF(B252=1,annot_records!D252,annot_records!J252)</f>
        <v>344</v>
      </c>
      <c r="D252">
        <f>IF(B252=1,annot_records!H252,annot_records!L252)</f>
        <v>388</v>
      </c>
      <c r="E252">
        <f>IF(B252=1,annot_records!F252,-1)</f>
        <v>369</v>
      </c>
      <c r="F252">
        <f>IF(B252=1,annot_records!G252-(annot_records!E252+annot_records!I252)/2,-1)</f>
        <v>12857</v>
      </c>
      <c r="G252">
        <f>IF(B252=2,annot_records!O252-(annot_records!M252+annot_records!K252)*(annot_records!L252-annot_records!J252)/2,-1)</f>
        <v>-1</v>
      </c>
      <c r="H252">
        <f>IF(B252=2,annot_records!N252,-1)</f>
        <v>-1</v>
      </c>
    </row>
    <row r="253" spans="1:8" x14ac:dyDescent="0.25">
      <c r="A253">
        <f>annot_records!A253</f>
        <v>95</v>
      </c>
      <c r="B253">
        <f>IF(annot_records!B253="峰标注",1,2)</f>
        <v>1</v>
      </c>
      <c r="C253">
        <f>IF(B253=1,annot_records!D253,annot_records!J253)</f>
        <v>145</v>
      </c>
      <c r="D253">
        <f>IF(B253=1,annot_records!H253,annot_records!L253)</f>
        <v>172</v>
      </c>
      <c r="E253">
        <f>IF(B253=1,annot_records!F253,-1)</f>
        <v>157</v>
      </c>
      <c r="F253">
        <f>IF(B253=1,annot_records!G253-(annot_records!E253+annot_records!I253)/2,-1)</f>
        <v>1242.5</v>
      </c>
      <c r="G253">
        <f>IF(B253=2,annot_records!O253-(annot_records!M253+annot_records!K253)*(annot_records!L253-annot_records!J253)/2,-1)</f>
        <v>-1</v>
      </c>
      <c r="H253">
        <f>IF(B253=2,annot_records!N253,-1)</f>
        <v>-1</v>
      </c>
    </row>
    <row r="254" spans="1:8" x14ac:dyDescent="0.25">
      <c r="A254">
        <f>annot_records!A254</f>
        <v>95</v>
      </c>
      <c r="B254">
        <f>IF(annot_records!B254="峰标注",1,2)</f>
        <v>2</v>
      </c>
      <c r="C254">
        <f>IF(B254=1,annot_records!D254,annot_records!J254)</f>
        <v>263</v>
      </c>
      <c r="D254">
        <f>IF(B254=1,annot_records!H254,annot_records!L254)</f>
        <v>338</v>
      </c>
      <c r="E254">
        <f>IF(B254=1,annot_records!F254,-1)</f>
        <v>-1</v>
      </c>
      <c r="F254">
        <f>IF(B254=1,annot_records!G254-(annot_records!E254+annot_records!I254)/2,-1)</f>
        <v>-1</v>
      </c>
      <c r="G254">
        <f>IF(B254=2,annot_records!O254-(annot_records!M254+annot_records!K254)*(annot_records!L254-annot_records!J254)/2,-1)</f>
        <v>141058.5</v>
      </c>
      <c r="H254">
        <f>IF(B254=2,annot_records!N254,-1)</f>
        <v>2</v>
      </c>
    </row>
    <row r="255" spans="1:8" x14ac:dyDescent="0.25">
      <c r="A255">
        <f>annot_records!A255</f>
        <v>95</v>
      </c>
      <c r="B255">
        <f>IF(annot_records!B255="峰标注",1,2)</f>
        <v>1</v>
      </c>
      <c r="C255">
        <f>IF(B255=1,annot_records!D255,annot_records!J255)</f>
        <v>414</v>
      </c>
      <c r="D255">
        <f>IF(B255=1,annot_records!H255,annot_records!L255)</f>
        <v>432</v>
      </c>
      <c r="E255">
        <f>IF(B255=1,annot_records!F255,-1)</f>
        <v>423</v>
      </c>
      <c r="F255">
        <f>IF(B255=1,annot_records!G255-(annot_records!E255+annot_records!I255)/2,-1)</f>
        <v>860</v>
      </c>
      <c r="G255">
        <f>IF(B255=2,annot_records!O255-(annot_records!M255+annot_records!K255)*(annot_records!L255-annot_records!J255)/2,-1)</f>
        <v>-1</v>
      </c>
      <c r="H255">
        <f>IF(B255=2,annot_records!N255,-1)</f>
        <v>-1</v>
      </c>
    </row>
    <row r="256" spans="1:8" x14ac:dyDescent="0.25">
      <c r="A256">
        <f>annot_records!A256</f>
        <v>96</v>
      </c>
      <c r="B256">
        <f>IF(annot_records!B256="峰标注",1,2)</f>
        <v>1</v>
      </c>
      <c r="C256">
        <f>IF(B256=1,annot_records!D256,annot_records!J256)</f>
        <v>141</v>
      </c>
      <c r="D256">
        <f>IF(B256=1,annot_records!H256,annot_records!L256)</f>
        <v>164</v>
      </c>
      <c r="E256">
        <f>IF(B256=1,annot_records!F256,-1)</f>
        <v>154</v>
      </c>
      <c r="F256">
        <f>IF(B256=1,annot_records!G256-(annot_records!E256+annot_records!I256)/2,-1)</f>
        <v>2214.5</v>
      </c>
      <c r="G256">
        <f>IF(B256=2,annot_records!O256-(annot_records!M256+annot_records!K256)*(annot_records!L256-annot_records!J256)/2,-1)</f>
        <v>-1</v>
      </c>
      <c r="H256">
        <f>IF(B256=2,annot_records!N256,-1)</f>
        <v>-1</v>
      </c>
    </row>
    <row r="257" spans="1:8" x14ac:dyDescent="0.25">
      <c r="A257">
        <f>annot_records!A257</f>
        <v>96</v>
      </c>
      <c r="B257">
        <f>IF(annot_records!B257="峰标注",1,2)</f>
        <v>1</v>
      </c>
      <c r="C257">
        <f>IF(B257=1,annot_records!D257,annot_records!J257)</f>
        <v>258</v>
      </c>
      <c r="D257">
        <f>IF(B257=1,annot_records!H257,annot_records!L257)</f>
        <v>295</v>
      </c>
      <c r="E257">
        <f>IF(B257=1,annot_records!F257,-1)</f>
        <v>277</v>
      </c>
      <c r="F257">
        <f>IF(B257=1,annot_records!G257-(annot_records!E257+annot_records!I257)/2,-1)</f>
        <v>1423.5</v>
      </c>
      <c r="G257">
        <f>IF(B257=2,annot_records!O257-(annot_records!M257+annot_records!K257)*(annot_records!L257-annot_records!J257)/2,-1)</f>
        <v>-1</v>
      </c>
      <c r="H257">
        <f>IF(B257=2,annot_records!N257,-1)</f>
        <v>-1</v>
      </c>
    </row>
    <row r="258" spans="1:8" x14ac:dyDescent="0.25">
      <c r="A258">
        <f>annot_records!A258</f>
        <v>96</v>
      </c>
      <c r="B258">
        <f>IF(annot_records!B258="峰标注",1,2)</f>
        <v>1</v>
      </c>
      <c r="C258">
        <f>IF(B258=1,annot_records!D258,annot_records!J258)</f>
        <v>297</v>
      </c>
      <c r="D258">
        <f>IF(B258=1,annot_records!H258,annot_records!L258)</f>
        <v>336</v>
      </c>
      <c r="E258">
        <f>IF(B258=1,annot_records!F258,-1)</f>
        <v>316</v>
      </c>
      <c r="F258">
        <f>IF(B258=1,annot_records!G258-(annot_records!E258+annot_records!I258)/2,-1)</f>
        <v>4680</v>
      </c>
      <c r="G258">
        <f>IF(B258=2,annot_records!O258-(annot_records!M258+annot_records!K258)*(annot_records!L258-annot_records!J258)/2,-1)</f>
        <v>-1</v>
      </c>
      <c r="H258">
        <f>IF(B258=2,annot_records!N258,-1)</f>
        <v>-1</v>
      </c>
    </row>
    <row r="259" spans="1:8" x14ac:dyDescent="0.25">
      <c r="A259">
        <f>annot_records!A259</f>
        <v>96</v>
      </c>
      <c r="B259">
        <f>IF(annot_records!B259="峰标注",1,2)</f>
        <v>1</v>
      </c>
      <c r="C259">
        <f>IF(B259=1,annot_records!D259,annot_records!J259)</f>
        <v>410</v>
      </c>
      <c r="D259">
        <f>IF(B259=1,annot_records!H259,annot_records!L259)</f>
        <v>423</v>
      </c>
      <c r="E259">
        <f>IF(B259=1,annot_records!F259,-1)</f>
        <v>416</v>
      </c>
      <c r="F259">
        <f>IF(B259=1,annot_records!G259-(annot_records!E259+annot_records!I259)/2,-1)</f>
        <v>1441.5</v>
      </c>
      <c r="G259">
        <f>IF(B259=2,annot_records!O259-(annot_records!M259+annot_records!K259)*(annot_records!L259-annot_records!J259)/2,-1)</f>
        <v>-1</v>
      </c>
      <c r="H259">
        <f>IF(B259=2,annot_records!N259,-1)</f>
        <v>-1</v>
      </c>
    </row>
    <row r="260" spans="1:8" x14ac:dyDescent="0.25">
      <c r="A260">
        <f>annot_records!A260</f>
        <v>97</v>
      </c>
      <c r="B260">
        <f>IF(annot_records!B260="峰标注",1,2)</f>
        <v>1</v>
      </c>
      <c r="C260">
        <f>IF(B260=1,annot_records!D260,annot_records!J260)</f>
        <v>139</v>
      </c>
      <c r="D260">
        <f>IF(B260=1,annot_records!H260,annot_records!L260)</f>
        <v>166</v>
      </c>
      <c r="E260">
        <f>IF(B260=1,annot_records!F260,-1)</f>
        <v>152</v>
      </c>
      <c r="F260">
        <f>IF(B260=1,annot_records!G260-(annot_records!E260+annot_records!I260)/2,-1)</f>
        <v>2386.5</v>
      </c>
      <c r="G260">
        <f>IF(B260=2,annot_records!O260-(annot_records!M260+annot_records!K260)*(annot_records!L260-annot_records!J260)/2,-1)</f>
        <v>-1</v>
      </c>
      <c r="H260">
        <f>IF(B260=2,annot_records!N260,-1)</f>
        <v>-1</v>
      </c>
    </row>
    <row r="261" spans="1:8" x14ac:dyDescent="0.25">
      <c r="A261">
        <f>annot_records!A261</f>
        <v>97</v>
      </c>
      <c r="B261">
        <f>IF(annot_records!B261="峰标注",1,2)</f>
        <v>2</v>
      </c>
      <c r="C261">
        <f>IF(B261=1,annot_records!D261,annot_records!J261)</f>
        <v>252</v>
      </c>
      <c r="D261">
        <f>IF(B261=1,annot_records!H261,annot_records!L261)</f>
        <v>295</v>
      </c>
      <c r="E261">
        <f>IF(B261=1,annot_records!F261,-1)</f>
        <v>-1</v>
      </c>
      <c r="F261">
        <f>IF(B261=1,annot_records!G261-(annot_records!E261+annot_records!I261)/2,-1)</f>
        <v>-1</v>
      </c>
      <c r="G261">
        <f>IF(B261=2,annot_records!O261-(annot_records!M261+annot_records!K261)*(annot_records!L261-annot_records!J261)/2,-1)</f>
        <v>40247</v>
      </c>
      <c r="H261">
        <f>IF(B261=2,annot_records!N261,-1)</f>
        <v>2</v>
      </c>
    </row>
    <row r="262" spans="1:8" x14ac:dyDescent="0.25">
      <c r="A262">
        <f>annot_records!A262</f>
        <v>97</v>
      </c>
      <c r="B262">
        <f>IF(annot_records!B262="峰标注",1,2)</f>
        <v>1</v>
      </c>
      <c r="C262">
        <f>IF(B262=1,annot_records!D262,annot_records!J262)</f>
        <v>297</v>
      </c>
      <c r="D262">
        <f>IF(B262=1,annot_records!H262,annot_records!L262)</f>
        <v>331</v>
      </c>
      <c r="E262">
        <f>IF(B262=1,annot_records!F262,-1)</f>
        <v>313</v>
      </c>
      <c r="F262">
        <f>IF(B262=1,annot_records!G262-(annot_records!E262+annot_records!I262)/2,-1)</f>
        <v>5083</v>
      </c>
      <c r="G262">
        <f>IF(B262=2,annot_records!O262-(annot_records!M262+annot_records!K262)*(annot_records!L262-annot_records!J262)/2,-1)</f>
        <v>-1</v>
      </c>
      <c r="H262">
        <f>IF(B262=2,annot_records!N262,-1)</f>
        <v>-1</v>
      </c>
    </row>
    <row r="263" spans="1:8" x14ac:dyDescent="0.25">
      <c r="A263">
        <f>annot_records!A263</f>
        <v>97</v>
      </c>
      <c r="B263">
        <f>IF(annot_records!B263="峰标注",1,2)</f>
        <v>1</v>
      </c>
      <c r="C263">
        <f>IF(B263=1,annot_records!D263,annot_records!J263)</f>
        <v>408</v>
      </c>
      <c r="D263">
        <f>IF(B263=1,annot_records!H263,annot_records!L263)</f>
        <v>421</v>
      </c>
      <c r="E263">
        <f>IF(B263=1,annot_records!F263,-1)</f>
        <v>415</v>
      </c>
      <c r="F263">
        <f>IF(B263=1,annot_records!G263-(annot_records!E263+annot_records!I263)/2,-1)</f>
        <v>1832</v>
      </c>
      <c r="G263">
        <f>IF(B263=2,annot_records!O263-(annot_records!M263+annot_records!K263)*(annot_records!L263-annot_records!J263)/2,-1)</f>
        <v>-1</v>
      </c>
      <c r="H263">
        <f>IF(B263=2,annot_records!N263,-1)</f>
        <v>-1</v>
      </c>
    </row>
    <row r="264" spans="1:8" x14ac:dyDescent="0.25">
      <c r="A264">
        <f>annot_records!A264</f>
        <v>98</v>
      </c>
      <c r="B264">
        <f>IF(annot_records!B264="峰标注",1,2)</f>
        <v>1</v>
      </c>
      <c r="C264">
        <f>IF(B264=1,annot_records!D264,annot_records!J264)</f>
        <v>139</v>
      </c>
      <c r="D264">
        <f>IF(B264=1,annot_records!H264,annot_records!L264)</f>
        <v>157</v>
      </c>
      <c r="E264">
        <f>IF(B264=1,annot_records!F264,-1)</f>
        <v>148</v>
      </c>
      <c r="F264">
        <f>IF(B264=1,annot_records!G264-(annot_records!E264+annot_records!I264)/2,-1)</f>
        <v>2231</v>
      </c>
      <c r="G264">
        <f>IF(B264=2,annot_records!O264-(annot_records!M264+annot_records!K264)*(annot_records!L264-annot_records!J264)/2,-1)</f>
        <v>-1</v>
      </c>
      <c r="H264">
        <f>IF(B264=2,annot_records!N264,-1)</f>
        <v>-1</v>
      </c>
    </row>
    <row r="265" spans="1:8" x14ac:dyDescent="0.25">
      <c r="A265">
        <f>annot_records!A265</f>
        <v>98</v>
      </c>
      <c r="B265">
        <f>IF(annot_records!B265="峰标注",1,2)</f>
        <v>2</v>
      </c>
      <c r="C265">
        <f>IF(B265=1,annot_records!D265,annot_records!J265)</f>
        <v>248</v>
      </c>
      <c r="D265">
        <f>IF(B265=1,annot_records!H265,annot_records!L265)</f>
        <v>288</v>
      </c>
      <c r="E265">
        <f>IF(B265=1,annot_records!F265,-1)</f>
        <v>-1</v>
      </c>
      <c r="F265">
        <f>IF(B265=1,annot_records!G265-(annot_records!E265+annot_records!I265)/2,-1)</f>
        <v>-1</v>
      </c>
      <c r="G265">
        <f>IF(B265=2,annot_records!O265-(annot_records!M265+annot_records!K265)*(annot_records!L265-annot_records!J265)/2,-1)</f>
        <v>48126</v>
      </c>
      <c r="H265">
        <f>IF(B265=2,annot_records!N265,-1)</f>
        <v>2</v>
      </c>
    </row>
    <row r="266" spans="1:8" x14ac:dyDescent="0.25">
      <c r="A266">
        <f>annot_records!A266</f>
        <v>98</v>
      </c>
      <c r="B266">
        <f>IF(annot_records!B266="峰标注",1,2)</f>
        <v>1</v>
      </c>
      <c r="C266">
        <f>IF(B266=1,annot_records!D266,annot_records!J266)</f>
        <v>289</v>
      </c>
      <c r="D266">
        <f>IF(B266=1,annot_records!H266,annot_records!L266)</f>
        <v>319</v>
      </c>
      <c r="E266">
        <f>IF(B266=1,annot_records!F266,-1)</f>
        <v>305</v>
      </c>
      <c r="F266">
        <f>IF(B266=1,annot_records!G266-(annot_records!E266+annot_records!I266)/2,-1)</f>
        <v>6813</v>
      </c>
      <c r="G266">
        <f>IF(B266=2,annot_records!O266-(annot_records!M266+annot_records!K266)*(annot_records!L266-annot_records!J266)/2,-1)</f>
        <v>-1</v>
      </c>
      <c r="H266">
        <f>IF(B266=2,annot_records!N266,-1)</f>
        <v>-1</v>
      </c>
    </row>
    <row r="267" spans="1:8" x14ac:dyDescent="0.25">
      <c r="A267">
        <f>annot_records!A267</f>
        <v>98</v>
      </c>
      <c r="B267">
        <f>IF(annot_records!B267="峰标注",1,2)</f>
        <v>1</v>
      </c>
      <c r="C267">
        <f>IF(B267=1,annot_records!D267,annot_records!J267)</f>
        <v>406</v>
      </c>
      <c r="D267">
        <f>IF(B267=1,annot_records!H267,annot_records!L267)</f>
        <v>416</v>
      </c>
      <c r="E267">
        <f>IF(B267=1,annot_records!F267,-1)</f>
        <v>411</v>
      </c>
      <c r="F267">
        <f>IF(B267=1,annot_records!G267-(annot_records!E267+annot_records!I267)/2,-1)</f>
        <v>2263.5</v>
      </c>
      <c r="G267">
        <f>IF(B267=2,annot_records!O267-(annot_records!M267+annot_records!K267)*(annot_records!L267-annot_records!J267)/2,-1)</f>
        <v>-1</v>
      </c>
      <c r="H267">
        <f>IF(B267=2,annot_records!N267,-1)</f>
        <v>-1</v>
      </c>
    </row>
    <row r="268" spans="1:8" x14ac:dyDescent="0.25">
      <c r="A268">
        <f>annot_records!A268</f>
        <v>99</v>
      </c>
      <c r="B268">
        <f>IF(annot_records!B268="峰标注",1,2)</f>
        <v>1</v>
      </c>
      <c r="C268">
        <f>IF(B268=1,annot_records!D268,annot_records!J268)</f>
        <v>136</v>
      </c>
      <c r="D268">
        <f>IF(B268=1,annot_records!H268,annot_records!L268)</f>
        <v>156</v>
      </c>
      <c r="E268">
        <f>IF(B268=1,annot_records!F268,-1)</f>
        <v>149</v>
      </c>
      <c r="F268">
        <f>IF(B268=1,annot_records!G268-(annot_records!E268+annot_records!I268)/2,-1)</f>
        <v>2058</v>
      </c>
      <c r="G268">
        <f>IF(B268=2,annot_records!O268-(annot_records!M268+annot_records!K268)*(annot_records!L268-annot_records!J268)/2,-1)</f>
        <v>-1</v>
      </c>
      <c r="H268">
        <f>IF(B268=2,annot_records!N268,-1)</f>
        <v>-1</v>
      </c>
    </row>
    <row r="269" spans="1:8" x14ac:dyDescent="0.25">
      <c r="A269">
        <f>annot_records!A269</f>
        <v>99</v>
      </c>
      <c r="B269">
        <f>IF(annot_records!B269="峰标注",1,2)</f>
        <v>2</v>
      </c>
      <c r="C269">
        <f>IF(B269=1,annot_records!D269,annot_records!J269)</f>
        <v>247</v>
      </c>
      <c r="D269">
        <f>IF(B269=1,annot_records!H269,annot_records!L269)</f>
        <v>285</v>
      </c>
      <c r="E269">
        <f>IF(B269=1,annot_records!F269,-1)</f>
        <v>-1</v>
      </c>
      <c r="F269">
        <f>IF(B269=1,annot_records!G269-(annot_records!E269+annot_records!I269)/2,-1)</f>
        <v>-1</v>
      </c>
      <c r="G269">
        <f>IF(B269=2,annot_records!O269-(annot_records!M269+annot_records!K269)*(annot_records!L269-annot_records!J269)/2,-1)</f>
        <v>50999</v>
      </c>
      <c r="H269">
        <f>IF(B269=2,annot_records!N269,-1)</f>
        <v>2</v>
      </c>
    </row>
    <row r="270" spans="1:8" x14ac:dyDescent="0.25">
      <c r="A270">
        <f>annot_records!A270</f>
        <v>99</v>
      </c>
      <c r="B270">
        <f>IF(annot_records!B270="峰标注",1,2)</f>
        <v>1</v>
      </c>
      <c r="C270">
        <f>IF(B270=1,annot_records!D270,annot_records!J270)</f>
        <v>286</v>
      </c>
      <c r="D270">
        <f>IF(B270=1,annot_records!H270,annot_records!L270)</f>
        <v>309</v>
      </c>
      <c r="E270">
        <f>IF(B270=1,annot_records!F270,-1)</f>
        <v>296</v>
      </c>
      <c r="F270">
        <f>IF(B270=1,annot_records!G270-(annot_records!E270+annot_records!I270)/2,-1)</f>
        <v>7884.5</v>
      </c>
      <c r="G270">
        <f>IF(B270=2,annot_records!O270-(annot_records!M270+annot_records!K270)*(annot_records!L270-annot_records!J270)/2,-1)</f>
        <v>-1</v>
      </c>
      <c r="H270">
        <f>IF(B270=2,annot_records!N270,-1)</f>
        <v>-1</v>
      </c>
    </row>
    <row r="271" spans="1:8" x14ac:dyDescent="0.25">
      <c r="A271">
        <f>annot_records!A271</f>
        <v>99</v>
      </c>
      <c r="B271">
        <f>IF(annot_records!B271="峰标注",1,2)</f>
        <v>1</v>
      </c>
      <c r="C271">
        <f>IF(B271=1,annot_records!D271,annot_records!J271)</f>
        <v>405</v>
      </c>
      <c r="D271">
        <f>IF(B271=1,annot_records!H271,annot_records!L271)</f>
        <v>415</v>
      </c>
      <c r="E271">
        <f>IF(B271=1,annot_records!F271,-1)</f>
        <v>411</v>
      </c>
      <c r="F271">
        <f>IF(B271=1,annot_records!G271-(annot_records!E271+annot_records!I271)/2,-1)</f>
        <v>2033</v>
      </c>
      <c r="G271">
        <f>IF(B271=2,annot_records!O271-(annot_records!M271+annot_records!K271)*(annot_records!L271-annot_records!J271)/2,-1)</f>
        <v>-1</v>
      </c>
      <c r="H271">
        <f>IF(B271=2,annot_records!N271,-1)</f>
        <v>-1</v>
      </c>
    </row>
    <row r="272" spans="1:8" x14ac:dyDescent="0.25">
      <c r="A272">
        <f>annot_records!A272</f>
        <v>100</v>
      </c>
      <c r="B272">
        <f>IF(annot_records!B272="峰标注",1,2)</f>
        <v>1</v>
      </c>
      <c r="C272">
        <f>IF(B272=1,annot_records!D272,annot_records!J272)</f>
        <v>134</v>
      </c>
      <c r="D272">
        <f>IF(B272=1,annot_records!H272,annot_records!L272)</f>
        <v>150</v>
      </c>
      <c r="E272">
        <f>IF(B272=1,annot_records!F272,-1)</f>
        <v>146</v>
      </c>
      <c r="F272">
        <f>IF(B272=1,annot_records!G272-(annot_records!E272+annot_records!I272)/2,-1)</f>
        <v>3698</v>
      </c>
      <c r="G272">
        <f>IF(B272=2,annot_records!O272-(annot_records!M272+annot_records!K272)*(annot_records!L272-annot_records!J272)/2,-1)</f>
        <v>-1</v>
      </c>
      <c r="H272">
        <f>IF(B272=2,annot_records!N272,-1)</f>
        <v>-1</v>
      </c>
    </row>
    <row r="273" spans="1:8" x14ac:dyDescent="0.25">
      <c r="A273">
        <f>annot_records!A273</f>
        <v>100</v>
      </c>
      <c r="B273">
        <f>IF(annot_records!B273="峰标注",1,2)</f>
        <v>1</v>
      </c>
      <c r="C273">
        <f>IF(B273=1,annot_records!D273,annot_records!J273)</f>
        <v>405</v>
      </c>
      <c r="D273">
        <f>IF(B273=1,annot_records!H273,annot_records!L273)</f>
        <v>417</v>
      </c>
      <c r="E273">
        <f>IF(B273=1,annot_records!F273,-1)</f>
        <v>412</v>
      </c>
      <c r="F273">
        <f>IF(B273=1,annot_records!G273-(annot_records!E273+annot_records!I273)/2,-1)</f>
        <v>1999.5</v>
      </c>
      <c r="G273">
        <f>IF(B273=2,annot_records!O273-(annot_records!M273+annot_records!K273)*(annot_records!L273-annot_records!J273)/2,-1)</f>
        <v>-1</v>
      </c>
      <c r="H273">
        <f>IF(B273=2,annot_records!N273,-1)</f>
        <v>-1</v>
      </c>
    </row>
    <row r="274" spans="1:8" x14ac:dyDescent="0.25">
      <c r="A274">
        <f>annot_records!A274</f>
        <v>101</v>
      </c>
      <c r="B274">
        <f>IF(annot_records!B274="峰标注",1,2)</f>
        <v>1</v>
      </c>
      <c r="C274">
        <f>IF(B274=1,annot_records!D274,annot_records!J274)</f>
        <v>139</v>
      </c>
      <c r="D274">
        <f>IF(B274=1,annot_records!H274,annot_records!L274)</f>
        <v>166</v>
      </c>
      <c r="E274">
        <f>IF(B274=1,annot_records!F274,-1)</f>
        <v>149</v>
      </c>
      <c r="F274">
        <f>IF(B274=1,annot_records!G274-(annot_records!E274+annot_records!I274)/2,-1)</f>
        <v>1221</v>
      </c>
      <c r="G274">
        <f>IF(B274=2,annot_records!O274-(annot_records!M274+annot_records!K274)*(annot_records!L274-annot_records!J274)/2,-1)</f>
        <v>-1</v>
      </c>
      <c r="H274">
        <f>IF(B274=2,annot_records!N274,-1)</f>
        <v>-1</v>
      </c>
    </row>
    <row r="275" spans="1:8" x14ac:dyDescent="0.25">
      <c r="A275">
        <f>annot_records!A275</f>
        <v>101</v>
      </c>
      <c r="B275">
        <f>IF(annot_records!B275="峰标注",1,2)</f>
        <v>2</v>
      </c>
      <c r="C275">
        <f>IF(B275=1,annot_records!D275,annot_records!J275)</f>
        <v>250</v>
      </c>
      <c r="D275">
        <f>IF(B275=1,annot_records!H275,annot_records!L275)</f>
        <v>296</v>
      </c>
      <c r="E275">
        <f>IF(B275=1,annot_records!F275,-1)</f>
        <v>-1</v>
      </c>
      <c r="F275">
        <f>IF(B275=1,annot_records!G275-(annot_records!E275+annot_records!I275)/2,-1)</f>
        <v>-1</v>
      </c>
      <c r="G275">
        <f>IF(B275=2,annot_records!O275-(annot_records!M275+annot_records!K275)*(annot_records!L275-annot_records!J275)/2,-1)</f>
        <v>141958</v>
      </c>
      <c r="H275">
        <f>IF(B275=2,annot_records!N275,-1)</f>
        <v>2</v>
      </c>
    </row>
    <row r="276" spans="1:8" x14ac:dyDescent="0.25">
      <c r="A276">
        <f>annot_records!A276</f>
        <v>101</v>
      </c>
      <c r="B276">
        <f>IF(annot_records!B276="峰标注",1,2)</f>
        <v>1</v>
      </c>
      <c r="C276">
        <f>IF(B276=1,annot_records!D276,annot_records!J276)</f>
        <v>406</v>
      </c>
      <c r="D276">
        <f>IF(B276=1,annot_records!H276,annot_records!L276)</f>
        <v>417</v>
      </c>
      <c r="E276">
        <f>IF(B276=1,annot_records!F276,-1)</f>
        <v>412</v>
      </c>
      <c r="F276">
        <f>IF(B276=1,annot_records!G276-(annot_records!E276+annot_records!I276)/2,-1)</f>
        <v>1712</v>
      </c>
      <c r="G276">
        <f>IF(B276=2,annot_records!O276-(annot_records!M276+annot_records!K276)*(annot_records!L276-annot_records!J276)/2,-1)</f>
        <v>-1</v>
      </c>
      <c r="H276">
        <f>IF(B276=2,annot_records!N276,-1)</f>
        <v>-1</v>
      </c>
    </row>
    <row r="277" spans="1:8" x14ac:dyDescent="0.25">
      <c r="A277">
        <f>annot_records!A277</f>
        <v>102</v>
      </c>
      <c r="B277">
        <f>IF(annot_records!B277="峰标注",1,2)</f>
        <v>1</v>
      </c>
      <c r="C277">
        <f>IF(B277=1,annot_records!D277,annot_records!J277)</f>
        <v>141</v>
      </c>
      <c r="D277">
        <f>IF(B277=1,annot_records!H277,annot_records!L277)</f>
        <v>162</v>
      </c>
      <c r="E277">
        <f>IF(B277=1,annot_records!F277,-1)</f>
        <v>154</v>
      </c>
      <c r="F277">
        <f>IF(B277=1,annot_records!G277-(annot_records!E277+annot_records!I277)/2,-1)</f>
        <v>2024</v>
      </c>
      <c r="G277">
        <f>IF(B277=2,annot_records!O277-(annot_records!M277+annot_records!K277)*(annot_records!L277-annot_records!J277)/2,-1)</f>
        <v>-1</v>
      </c>
      <c r="H277">
        <f>IF(B277=2,annot_records!N277,-1)</f>
        <v>-1</v>
      </c>
    </row>
    <row r="278" spans="1:8" x14ac:dyDescent="0.25">
      <c r="A278">
        <f>annot_records!A278</f>
        <v>102</v>
      </c>
      <c r="B278">
        <f>IF(annot_records!B278="峰标注",1,2)</f>
        <v>2</v>
      </c>
      <c r="C278">
        <f>IF(B278=1,annot_records!D278,annot_records!J278)</f>
        <v>250</v>
      </c>
      <c r="D278">
        <f>IF(B278=1,annot_records!H278,annot_records!L278)</f>
        <v>293</v>
      </c>
      <c r="E278">
        <f>IF(B278=1,annot_records!F278,-1)</f>
        <v>-1</v>
      </c>
      <c r="F278">
        <f>IF(B278=1,annot_records!G278-(annot_records!E278+annot_records!I278)/2,-1)</f>
        <v>-1</v>
      </c>
      <c r="G278">
        <f>IF(B278=2,annot_records!O278-(annot_records!M278+annot_records!K278)*(annot_records!L278-annot_records!J278)/2,-1)</f>
        <v>139267</v>
      </c>
      <c r="H278">
        <f>IF(B278=2,annot_records!N278,-1)</f>
        <v>2</v>
      </c>
    </row>
    <row r="279" spans="1:8" x14ac:dyDescent="0.25">
      <c r="A279">
        <f>annot_records!A279</f>
        <v>102</v>
      </c>
      <c r="B279">
        <f>IF(annot_records!B279="峰标注",1,2)</f>
        <v>1</v>
      </c>
      <c r="C279">
        <f>IF(B279=1,annot_records!D279,annot_records!J279)</f>
        <v>406</v>
      </c>
      <c r="D279">
        <f>IF(B279=1,annot_records!H279,annot_records!L279)</f>
        <v>420</v>
      </c>
      <c r="E279">
        <f>IF(B279=1,annot_records!F279,-1)</f>
        <v>416</v>
      </c>
      <c r="F279">
        <f>IF(B279=1,annot_records!G279-(annot_records!E279+annot_records!I279)/2,-1)</f>
        <v>1357</v>
      </c>
      <c r="G279">
        <f>IF(B279=2,annot_records!O279-(annot_records!M279+annot_records!K279)*(annot_records!L279-annot_records!J279)/2,-1)</f>
        <v>-1</v>
      </c>
      <c r="H279">
        <f>IF(B279=2,annot_records!N279,-1)</f>
        <v>-1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annot_records</vt:lpstr>
      <vt:lpstr>records_data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tree star</cp:lastModifiedBy>
  <dcterms:created xsi:type="dcterms:W3CDTF">2026-01-31T07:09:50Z</dcterms:created>
  <dcterms:modified xsi:type="dcterms:W3CDTF">2026-02-01T10:00:20Z</dcterms:modified>
</cp:coreProperties>
</file>